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rtfolio Analysis" sheetId="2" state="visible" r:id="rId2"/>
    <sheet xmlns:r="http://schemas.openxmlformats.org/officeDocument/2006/relationships" name="Long-term Impact" sheetId="3" state="visible" r:id="rId3"/>
    <sheet xmlns:r="http://schemas.openxmlformats.org/officeDocument/2006/relationships" name="Fee Comparison" sheetId="4" state="visible" r:id="rId4"/>
    <sheet xmlns:r="http://schemas.openxmlformats.org/officeDocument/2006/relationships" name="Hidden F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5A623"/>
      <sz val="24"/>
    </font>
    <font>
      <name val="Calibri"/>
      <color rgb="002D3436"/>
      <sz val="12"/>
    </font>
    <font>
      <name val="Calibri"/>
      <b val="1"/>
      <color rgb="00F5A623"/>
      <sz val="14"/>
    </font>
    <font>
      <name val="Calibri"/>
      <color rgb="002D3436"/>
      <sz val="11"/>
    </font>
    <font>
      <name val="Calibri"/>
      <i val="1"/>
      <color rgb="00F5A623"/>
      <sz val="10"/>
    </font>
    <font>
      <name val="Calibri"/>
      <color rgb="00636E72"/>
      <sz val="14"/>
    </font>
    <font>
      <name val="Calibri"/>
      <i val="1"/>
      <color rgb="00636E72"/>
      <sz val="10"/>
    </font>
    <font>
      <b val="1"/>
      <sz val="14"/>
    </font>
    <font>
      <b val="1"/>
      <color rgb="00F5A623"/>
      <sz val="14"/>
    </font>
    <font>
      <b val="1"/>
      <color rgb="00E74C3C"/>
      <sz val="14"/>
    </font>
    <font>
      <name val="Calibri"/>
      <b val="1"/>
      <color rgb="00FFFFFF"/>
      <sz val="12"/>
    </font>
    <font>
      <sz val="14"/>
    </font>
    <font>
      <color rgb="0027AE60"/>
      <sz val="14"/>
    </font>
    <font>
      <b val="1"/>
      <color rgb="00E74C3C"/>
      <sz val="18"/>
    </font>
    <font>
      <b val="1"/>
      <color rgb="00F5A623"/>
    </font>
    <font>
      <color rgb="002D3436"/>
      <sz val="10"/>
    </font>
    <font>
      <i val="1"/>
      <color rgb="00F5A623"/>
    </font>
  </fonts>
  <fills count="5">
    <fill>
      <patternFill/>
    </fill>
    <fill>
      <patternFill patternType="gray125"/>
    </fill>
    <fill>
      <patternFill patternType="solid">
        <fgColor rgb="00FFF3D4"/>
        <bgColor rgb="00FFF3D4"/>
      </patternFill>
    </fill>
    <fill>
      <patternFill patternType="solid">
        <fgColor rgb="00F5A623"/>
        <bgColor rgb="00F5A623"/>
      </patternFill>
    </fill>
    <fill>
      <patternFill patternType="solid">
        <fgColor rgb="00FFCCCB"/>
        <bgColor rgb="00FFCCCB"/>
      </patternFill>
    </fill>
  </fills>
  <borders count="3">
    <border>
      <left/>
      <right/>
      <top/>
      <bottom/>
      <diagonal/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164" fontId="8" fillId="0" borderId="0" pivotButton="0" quotePrefix="0" xfId="0"/>
    <xf numFmtId="10" fontId="9" fillId="0" borderId="0" pivotButton="0" quotePrefix="0" xfId="0"/>
    <xf numFmtId="164" fontId="1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0" fontId="4" fillId="0" borderId="2" applyAlignment="1" pivotButton="0" quotePrefix="0" xfId="0">
      <alignment horizontal="right" vertical="center"/>
    </xf>
    <xf numFmtId="166" fontId="0" fillId="0" borderId="0" pivotButton="0" quotePrefix="0" xfId="0"/>
    <xf numFmtId="164" fontId="12" fillId="0" borderId="0" pivotButton="0" quotePrefix="0" xfId="0"/>
    <xf numFmtId="164" fontId="13" fillId="0" borderId="0" pivotButton="0" quotePrefix="0" xfId="0"/>
    <xf numFmtId="0" fontId="8" fillId="0" borderId="0" pivotButton="0" quotePrefix="0" xfId="0"/>
    <xf numFmtId="164" fontId="14" fillId="4" borderId="0" pivotButton="0" quotePrefix="0" xfId="0"/>
    <xf numFmtId="0" fontId="15" fillId="0" borderId="0" pivotButton="0" quotePrefix="0" xfId="0"/>
    <xf numFmtId="0" fontId="0" fillId="2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30-Year Portfolio Growth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'Long-term Impact'!C17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'Long-term Impact'!$B$18:$B$47</f>
            </numRef>
          </cat>
          <val>
            <numRef>
              <f>'Long-term Impact'!$C$18:$C$47</f>
            </numRef>
          </val>
        </ser>
        <ser>
          <idx val="1"/>
          <order val="1"/>
          <tx>
            <strRef>
              <f>'Long-term Impact'!D17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'Long-term Impact'!$B$18:$B$47</f>
            </numRef>
          </cat>
          <val>
            <numRef>
              <f>'Long-term Impact'!$D$18:$D$47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>
      <c r="B2" s="1" t="inlineStr">
        <is>
          <t>📊 Investment Fee Analyzer</t>
        </is>
      </c>
    </row>
    <row r="4">
      <c r="B4" s="2" t="inlineStr">
        <is>
          <t>Welcome to your premium financial planning tool from Charge Wealth!</t>
        </is>
      </c>
    </row>
    <row r="6" ht="25" customHeight="1">
      <c r="B6" s="3" t="inlineStr">
        <is>
          <t>🎯 Overview</t>
        </is>
      </c>
    </row>
    <row r="7" ht="20" customHeight="1">
      <c r="B7" s="4" t="inlineStr">
        <is>
          <t xml:space="preserve">  • Investment fees can cost you HUNDREDS OF THOUSANDS over your lifetime.</t>
        </is>
      </c>
    </row>
    <row r="8" ht="20" customHeight="1">
      <c r="B8" s="4" t="inlineStr">
        <is>
          <t xml:space="preserve">  • This tool shows exactly how much you're paying and what it costs you.</t>
        </is>
      </c>
    </row>
    <row r="9" ht="20" customHeight="1">
      <c r="B9" s="4" t="inlineStr">
        <is>
          <t xml:space="preserve">  • Compare funds to find lower-cost alternatives.</t>
        </is>
      </c>
    </row>
    <row r="11" ht="25" customHeight="1">
      <c r="B11" s="3" t="inlineStr">
        <is>
          <t>📝 Getting Started</t>
        </is>
      </c>
    </row>
    <row r="12" ht="20" customHeight="1">
      <c r="B12" s="4" t="inlineStr">
        <is>
          <t xml:space="preserve">  • Enter your investments in the 'Portfolio Analysis' sheet</t>
        </is>
      </c>
    </row>
    <row r="13" ht="20" customHeight="1">
      <c r="B13" s="4" t="inlineStr">
        <is>
          <t xml:space="preserve">  • Use 'Fee Comparison' to compare similar funds</t>
        </is>
      </c>
    </row>
    <row r="14" ht="20" customHeight="1">
      <c r="B14" s="4" t="inlineStr">
        <is>
          <t xml:space="preserve">  • The 'Long-term Impact' sheet shows true cost over 30 years</t>
        </is>
      </c>
    </row>
    <row r="15" ht="20" customHeight="1">
      <c r="B15" s="4" t="inlineStr">
        <is>
          <t xml:space="preserve">  • Check 'Hidden Fees' for fees you might have missed</t>
        </is>
      </c>
    </row>
    <row r="17" ht="25" customHeight="1">
      <c r="B17" s="3" t="inlineStr">
        <is>
          <t>💡 Key Concepts</t>
        </is>
      </c>
    </row>
    <row r="18" ht="20" customHeight="1">
      <c r="B18" s="4" t="inlineStr">
        <is>
          <t xml:space="preserve">  • EXPENSE RATIO: Annual % taken from your investment (0.03% to 2%+)</t>
        </is>
      </c>
    </row>
    <row r="19" ht="20" customHeight="1">
      <c r="B19" s="4" t="inlineStr">
        <is>
          <t xml:space="preserve">  • LOAD FEES: One-time charges when buying/selling (avoid these!)</t>
        </is>
      </c>
    </row>
    <row r="20" ht="20" customHeight="1">
      <c r="B20" s="4" t="inlineStr">
        <is>
          <t xml:space="preserve">  • 12b-1 FEES: Marketing fees hidden in expense ratio</t>
        </is>
      </c>
    </row>
    <row r="21" ht="20" customHeight="1">
      <c r="B21" s="4" t="inlineStr">
        <is>
          <t xml:space="preserve">  • TRADING COSTS: Commissions, bid-ask spreads</t>
        </is>
      </c>
    </row>
    <row r="23" ht="25" customHeight="1">
      <c r="B23" s="3" t="inlineStr">
        <is>
          <t>🎯 Fee Targets</t>
        </is>
      </c>
    </row>
    <row r="24" ht="20" customHeight="1">
      <c r="B24" s="4" t="inlineStr">
        <is>
          <t xml:space="preserve">  • Index funds: 0.03% - 0.20%</t>
        </is>
      </c>
    </row>
    <row r="25" ht="20" customHeight="1">
      <c r="B25" s="4" t="inlineStr">
        <is>
          <t xml:space="preserve">  • Actively managed: 0.50% - 1.00% (hard to justify)</t>
        </is>
      </c>
    </row>
    <row r="26" ht="20" customHeight="1">
      <c r="B26" s="4" t="inlineStr">
        <is>
          <t xml:space="preserve">  • Target date funds: 0.10% - 0.50%</t>
        </is>
      </c>
    </row>
    <row r="27" ht="20" customHeight="1">
      <c r="B27" s="4" t="inlineStr">
        <is>
          <t xml:space="preserve">  • Anything over 1%: Question it seriously</t>
        </is>
      </c>
    </row>
    <row r="30">
      <c r="B30" s="5" t="inlineStr">
        <is>
          <t>Questions? Visit chargewealth.co for support and more premium tools.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Investment Fee Analyzer</t>
        </is>
      </c>
    </row>
    <row r="3">
      <c r="B3" s="6" t="inlineStr">
        <is>
          <t>See What You're Really Paying</t>
        </is>
      </c>
    </row>
    <row r="4">
      <c r="B4" s="7" t="inlineStr">
        <is>
          <t>Powered by Charge Wealth</t>
        </is>
      </c>
    </row>
    <row r="6">
      <c r="B6" s="3" t="inlineStr">
        <is>
          <t>PORTFOLIO FEE SUMMARY</t>
        </is>
      </c>
    </row>
    <row r="8">
      <c r="B8" t="inlineStr">
        <is>
          <t>Total Portfolio Value</t>
        </is>
      </c>
      <c r="C8" s="8">
        <f>SUM(D15:D30)</f>
        <v/>
      </c>
    </row>
    <row r="9">
      <c r="B9" t="inlineStr">
        <is>
          <t>Weighted Average Expense Ratio</t>
        </is>
      </c>
      <c r="C9" s="9">
        <f>SUMPRODUCT(D15:D30,E15:E30)/SUM(D15:D30)</f>
        <v/>
      </c>
    </row>
    <row r="10">
      <c r="B10" t="inlineStr">
        <is>
          <t>Annual Fee Cost</t>
        </is>
      </c>
      <c r="C10" s="10">
        <f>C8*C9</f>
        <v/>
      </c>
    </row>
    <row r="11">
      <c r="B11" t="inlineStr">
        <is>
          <t>Monthly Fee Cost</t>
        </is>
      </c>
      <c r="C11" s="11">
        <f>C10/12</f>
        <v/>
      </c>
    </row>
    <row r="12">
      <c r="B12" t="inlineStr">
        <is>
          <t>Daily Fee Cost</t>
        </is>
      </c>
      <c r="C12" s="12">
        <f>C10/365</f>
        <v/>
      </c>
    </row>
    <row r="15">
      <c r="B15" s="3" t="inlineStr">
        <is>
          <t>YOUR INVESTMENTS</t>
        </is>
      </c>
    </row>
    <row r="16">
      <c r="B16" s="13" t="inlineStr">
        <is>
          <t>Fund Name</t>
        </is>
      </c>
      <c r="C16" s="13" t="inlineStr">
        <is>
          <t>Ticker</t>
        </is>
      </c>
      <c r="D16" s="13" t="inlineStr">
        <is>
          <t>Value</t>
        </is>
      </c>
      <c r="E16" s="13" t="inlineStr">
        <is>
          <t>Expense Ratio</t>
        </is>
      </c>
      <c r="F16" s="13" t="inlineStr">
        <is>
          <t>Annual Cost</t>
        </is>
      </c>
      <c r="G16" s="13" t="inlineStr">
        <is>
          <t>Rating</t>
        </is>
      </c>
    </row>
    <row r="17">
      <c r="B17" t="inlineStr">
        <is>
          <t>Vanguard Total Stock Market</t>
        </is>
      </c>
      <c r="C17" t="inlineStr">
        <is>
          <t>VTI</t>
        </is>
      </c>
      <c r="D17" s="11" t="n">
        <v>150000</v>
      </c>
      <c r="E17" s="14" t="n">
        <v>0.0003</v>
      </c>
      <c r="F17" s="12">
        <f>D17*E17</f>
        <v/>
      </c>
      <c r="G17">
        <f>IF(E17&lt;=0.001,"⭐⭐⭐⭐⭐",IF(E17&lt;=0.005,"⭐⭐⭐⭐",IF(E17&lt;=0.01,"⭐⭐⭐",IF(E17&lt;=0.015,"⭐⭐","⭐"))))</f>
        <v/>
      </c>
    </row>
    <row r="18">
      <c r="B18" t="inlineStr">
        <is>
          <t>Fidelity 500 Index</t>
        </is>
      </c>
      <c r="C18" t="inlineStr">
        <is>
          <t>FXAIX</t>
        </is>
      </c>
      <c r="D18" s="11" t="n">
        <v>75000</v>
      </c>
      <c r="E18" s="14" t="n">
        <v>0.015</v>
      </c>
      <c r="F18" s="12">
        <f>D18*E18</f>
        <v/>
      </c>
      <c r="G18">
        <f>IF(E18&lt;=0.001,"⭐⭐⭐⭐⭐",IF(E18&lt;=0.005,"⭐⭐⭐⭐",IF(E18&lt;=0.01,"⭐⭐⭐",IF(E18&lt;=0.015,"⭐⭐","⭐"))))</f>
        <v/>
      </c>
    </row>
    <row r="19">
      <c r="B19" t="inlineStr">
        <is>
          <t>Company 401k Stock Fund</t>
        </is>
      </c>
      <c r="C19" t="inlineStr">
        <is>
          <t>N/A</t>
        </is>
      </c>
      <c r="D19" s="11" t="n">
        <v>50000</v>
      </c>
      <c r="E19" s="14" t="n">
        <v>0.008500000000000001</v>
      </c>
      <c r="F19" s="12">
        <f>D19*E19</f>
        <v/>
      </c>
      <c r="G19">
        <f>IF(E19&lt;=0.001,"⭐⭐⭐⭐⭐",IF(E19&lt;=0.005,"⭐⭐⭐⭐",IF(E19&lt;=0.01,"⭐⭐⭐",IF(E19&lt;=0.015,"⭐⭐","⭐"))))</f>
        <v/>
      </c>
    </row>
    <row r="20">
      <c r="B20" t="inlineStr">
        <is>
          <t>Target Date 2050</t>
        </is>
      </c>
      <c r="C20" t="inlineStr">
        <is>
          <t>TRRMX</t>
        </is>
      </c>
      <c r="D20" s="11" t="n">
        <v>45000</v>
      </c>
      <c r="E20" s="14" t="n">
        <v>0.0065</v>
      </c>
      <c r="F20" s="12">
        <f>D20*E20</f>
        <v/>
      </c>
      <c r="G20">
        <f>IF(E20&lt;=0.001,"⭐⭐⭐⭐⭐",IF(E20&lt;=0.005,"⭐⭐⭐⭐",IF(E20&lt;=0.01,"⭐⭐⭐",IF(E20&lt;=0.015,"⭐⭐","⭐"))))</f>
        <v/>
      </c>
    </row>
    <row r="21">
      <c r="B21" t="inlineStr">
        <is>
          <t>Bond Index Fund</t>
        </is>
      </c>
      <c r="C21" t="inlineStr">
        <is>
          <t>BND</t>
        </is>
      </c>
      <c r="D21" s="11" t="n">
        <v>30000</v>
      </c>
      <c r="E21" s="14" t="n">
        <v>0.0003</v>
      </c>
      <c r="F21" s="12">
        <f>D21*E21</f>
        <v/>
      </c>
      <c r="G21">
        <f>IF(E21&lt;=0.001,"⭐⭐⭐⭐⭐",IF(E21&lt;=0.005,"⭐⭐⭐⭐",IF(E21&lt;=0.01,"⭐⭐⭐",IF(E21&lt;=0.015,"⭐⭐","⭐"))))</f>
        <v/>
      </c>
    </row>
    <row r="22">
      <c r="B22" t="inlineStr">
        <is>
          <t>Actively Managed Growth</t>
        </is>
      </c>
      <c r="C22" t="inlineStr">
        <is>
          <t>FCNTX</t>
        </is>
      </c>
      <c r="D22" s="11" t="n">
        <v>25000</v>
      </c>
      <c r="E22" s="14" t="n">
        <v>0.0086</v>
      </c>
      <c r="F22" s="12">
        <f>D22*E22</f>
        <v/>
      </c>
      <c r="G22">
        <f>IF(E22&lt;=0.001,"⭐⭐⭐⭐⭐",IF(E22&lt;=0.005,"⭐⭐⭐⭐",IF(E22&lt;=0.01,"⭐⭐⭐",IF(E22&lt;=0.015,"⭐⭐","⭐"))))</f>
        <v/>
      </c>
    </row>
    <row r="23">
      <c r="B23" s="15" t="n"/>
      <c r="C23" s="15" t="n"/>
      <c r="D23" s="15" t="n"/>
      <c r="E23" s="15" t="n"/>
      <c r="F23" s="15">
        <f>IF(D23="","",D23*E23)</f>
        <v/>
      </c>
      <c r="G23" s="15">
        <f>IF(E23="","",IF(E23&lt;=0.001,"⭐⭐⭐⭐⭐",IF(E23&lt;=0.005,"⭐⭐⭐⭐",IF(E23&lt;=0.01,"⭐⭐⭐",IF(E23&lt;=0.015,"⭐⭐","⭐")))))</f>
        <v/>
      </c>
    </row>
    <row r="24">
      <c r="B24" s="15" t="n"/>
      <c r="C24" s="15" t="n"/>
      <c r="D24" s="15" t="n"/>
      <c r="E24" s="15" t="n"/>
      <c r="F24" s="15">
        <f>IF(D24="","",D24*E24)</f>
        <v/>
      </c>
      <c r="G24" s="15">
        <f>IF(E24="","",IF(E24&lt;=0.001,"⭐⭐⭐⭐⭐",IF(E24&lt;=0.005,"⭐⭐⭐⭐",IF(E24&lt;=0.01,"⭐⭐⭐",IF(E24&lt;=0.015,"⭐⭐","⭐")))))</f>
        <v/>
      </c>
    </row>
    <row r="25">
      <c r="B25" s="15" t="n"/>
      <c r="C25" s="15" t="n"/>
      <c r="D25" s="15" t="n"/>
      <c r="E25" s="15" t="n"/>
      <c r="F25" s="15">
        <f>IF(D25="","",D25*E25)</f>
        <v/>
      </c>
      <c r="G25" s="15">
        <f>IF(E25="","",IF(E25&lt;=0.001,"⭐⭐⭐⭐⭐",IF(E25&lt;=0.005,"⭐⭐⭐⭐",IF(E25&lt;=0.01,"⭐⭐⭐",IF(E25&lt;=0.015,"⭐⭐","⭐")))))</f>
        <v/>
      </c>
    </row>
    <row r="26">
      <c r="B26" s="15" t="n"/>
      <c r="C26" s="15" t="n"/>
      <c r="D26" s="15" t="n"/>
      <c r="E26" s="15" t="n"/>
      <c r="F26" s="15">
        <f>IF(D26="","",D26*E26)</f>
        <v/>
      </c>
      <c r="G26" s="15">
        <f>IF(E26="","",IF(E26&lt;=0.001,"⭐⭐⭐⭐⭐",IF(E26&lt;=0.005,"⭐⭐⭐⭐",IF(E26&lt;=0.01,"⭐⭐⭐",IF(E26&lt;=0.015,"⭐⭐","⭐")))))</f>
        <v/>
      </c>
    </row>
    <row r="27">
      <c r="B27" s="15" t="n"/>
      <c r="C27" s="15" t="n"/>
      <c r="D27" s="15" t="n"/>
      <c r="E27" s="15" t="n"/>
      <c r="F27" s="15">
        <f>IF(D27="","",D27*E27)</f>
        <v/>
      </c>
      <c r="G27" s="15">
        <f>IF(E27="","",IF(E27&lt;=0.001,"⭐⭐⭐⭐⭐",IF(E27&lt;=0.005,"⭐⭐⭐⭐",IF(E27&lt;=0.01,"⭐⭐⭐",IF(E27&lt;=0.015,"⭐⭐","⭐")))))</f>
        <v/>
      </c>
    </row>
    <row r="28">
      <c r="B28" s="15" t="n"/>
      <c r="C28" s="15" t="n"/>
      <c r="D28" s="15" t="n"/>
      <c r="E28" s="15" t="n"/>
      <c r="F28" s="15">
        <f>IF(D28="","",D28*E28)</f>
        <v/>
      </c>
      <c r="G28" s="15">
        <f>IF(E28="","",IF(E28&lt;=0.001,"⭐⭐⭐⭐⭐",IF(E28&lt;=0.005,"⭐⭐⭐⭐",IF(E28&lt;=0.01,"⭐⭐⭐",IF(E28&lt;=0.015,"⭐⭐","⭐")))))</f>
        <v/>
      </c>
    </row>
    <row r="29">
      <c r="B29" s="15" t="n"/>
      <c r="C29" s="15" t="n"/>
      <c r="D29" s="15" t="n"/>
      <c r="E29" s="15" t="n"/>
      <c r="F29" s="15">
        <f>IF(D29="","",D29*E29)</f>
        <v/>
      </c>
      <c r="G29" s="15">
        <f>IF(E29="","",IF(E29&lt;=0.001,"⭐⭐⭐⭐⭐",IF(E29&lt;=0.005,"⭐⭐⭐⭐",IF(E29&lt;=0.01,"⭐⭐⭐",IF(E29&lt;=0.015,"⭐⭐","⭐")))))</f>
        <v/>
      </c>
    </row>
    <row r="30">
      <c r="B30" s="15" t="n"/>
      <c r="C30" s="15" t="n"/>
      <c r="D30" s="15" t="n"/>
      <c r="E30" s="15" t="n"/>
      <c r="F30" s="15">
        <f>IF(D30="","",D30*E30)</f>
        <v/>
      </c>
      <c r="G30" s="15">
        <f>IF(E30="","",IF(E30&lt;=0.001,"⭐⭐⭐⭐⭐",IF(E30&lt;=0.005,"⭐⭐⭐⭐",IF(E30&lt;=0.01,"⭐⭐⭐",IF(E30&lt;=0.015,"⭐⭐","⭐")))))</f>
        <v/>
      </c>
    </row>
    <row r="31">
      <c r="B31" s="15" t="n"/>
      <c r="C31" s="15" t="n"/>
      <c r="D31" s="15" t="n"/>
      <c r="E31" s="15" t="n"/>
      <c r="F31" s="15">
        <f>IF(D31="","",D31*E31)</f>
        <v/>
      </c>
      <c r="G31" s="15">
        <f>IF(E31="","",IF(E31&lt;=0.001,"⭐⭐⭐⭐⭐",IF(E31&lt;=0.005,"⭐⭐⭐⭐",IF(E31&lt;=0.01,"⭐⭐⭐",IF(E31&lt;=0.015,"⭐⭐","⭐")))))</f>
        <v/>
      </c>
    </row>
    <row r="32">
      <c r="B32" s="15" t="n"/>
      <c r="C32" s="15" t="n"/>
      <c r="D32" s="15" t="n"/>
      <c r="E32" s="15" t="n"/>
      <c r="F32" s="15">
        <f>IF(D32="","",D32*E32)</f>
        <v/>
      </c>
      <c r="G32" s="15">
        <f>IF(E32="","",IF(E32&lt;=0.001,"⭐⭐⭐⭐⭐",IF(E32&lt;=0.005,"⭐⭐⭐⭐",IF(E32&lt;=0.01,"⭐⭐⭐",IF(E32&lt;=0.015,"⭐⭐","⭐")))))</f>
        <v/>
      </c>
    </row>
  </sheetData>
  <mergeCells count="5">
    <mergeCell ref="B6:F6"/>
    <mergeCell ref="B4:D4"/>
    <mergeCell ref="B2:H2"/>
    <mergeCell ref="B15:H15"/>
    <mergeCell ref="B3:H3"/>
  </mergeCells>
  <conditionalFormatting sqref="E17:E32">
    <cfRule type="colorScale" priority="1">
      <colorScale>
        <cfvo type="num" val="0"/>
        <cfvo type="num" val="0.005"/>
        <cfvo type="num" val="0.02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30-Year Fee Impact</t>
        </is>
      </c>
    </row>
    <row r="3">
      <c r="B3" s="6" t="inlineStr">
        <is>
          <t>The True Cost of Fees</t>
        </is>
      </c>
    </row>
    <row r="4">
      <c r="B4" s="7" t="inlineStr">
        <is>
          <t>Powered by Charge Wealth</t>
        </is>
      </c>
    </row>
    <row r="6">
      <c r="B6" s="3" t="inlineStr">
        <is>
          <t>ASSUMPTIONS</t>
        </is>
      </c>
    </row>
    <row r="8">
      <c r="B8" t="inlineStr">
        <is>
          <t>Starting Portfolio</t>
        </is>
      </c>
      <c r="C8" s="11">
        <f>'Portfolio Analysis'!C8</f>
        <v/>
      </c>
    </row>
    <row r="9">
      <c r="B9" t="inlineStr">
        <is>
          <t>Annual Contribution</t>
        </is>
      </c>
      <c r="C9" s="11" t="n">
        <v>24000</v>
      </c>
    </row>
    <row r="10">
      <c r="B10" t="inlineStr">
        <is>
          <t>Expected Return (before fees)</t>
        </is>
      </c>
      <c r="C10" s="16" t="n">
        <v>0.08</v>
      </c>
    </row>
    <row r="11">
      <c r="B11" t="inlineStr">
        <is>
          <t>Current Expense Ratio</t>
        </is>
      </c>
      <c r="C11" s="14">
        <f>'Portfolio Analysis'!C9</f>
        <v/>
      </c>
    </row>
    <row r="12">
      <c r="B12" t="inlineStr">
        <is>
          <t>Low-Cost Alternative</t>
        </is>
      </c>
      <c r="C12" s="14" t="n">
        <v>0.0003</v>
      </c>
    </row>
    <row r="15">
      <c r="B15" s="3" t="inlineStr">
        <is>
          <t>30-YEAR PROJECTION</t>
        </is>
      </c>
    </row>
    <row r="17">
      <c r="B17" s="13" t="inlineStr">
        <is>
          <t>Year</t>
        </is>
      </c>
      <c r="C17" s="13" t="inlineStr">
        <is>
          <t>Current Fees</t>
        </is>
      </c>
      <c r="D17" s="13" t="inlineStr">
        <is>
          <t>Low-Cost</t>
        </is>
      </c>
      <c r="E17" s="13" t="inlineStr">
        <is>
          <t>Fee Difference</t>
        </is>
      </c>
      <c r="F17" s="13" t="inlineStr">
        <is>
          <t>Cumulative Lost</t>
        </is>
      </c>
    </row>
    <row r="18">
      <c r="B18" t="n">
        <v>1</v>
      </c>
      <c r="C18" s="11">
        <f>($C$8+$C$9)*(1+$C$10-$C$11)</f>
        <v/>
      </c>
      <c r="D18" s="11">
        <f>($C$8+$C$9)*(1+$C$10-$C$12)</f>
        <v/>
      </c>
      <c r="E18" s="11">
        <f>D18-C18</f>
        <v/>
      </c>
      <c r="F18" s="11">
        <f>E18</f>
        <v/>
      </c>
    </row>
    <row r="19">
      <c r="B19" t="n">
        <v>2</v>
      </c>
      <c r="C19" s="11">
        <f>(C18+$C$9)*(1+$C$10-$C$11)</f>
        <v/>
      </c>
      <c r="D19" s="11">
        <f>(D18+$C$9)*(1+$C$10-$C$12)</f>
        <v/>
      </c>
      <c r="E19" s="11">
        <f>D19-C19</f>
        <v/>
      </c>
      <c r="F19" s="11">
        <f>E19</f>
        <v/>
      </c>
    </row>
    <row r="20">
      <c r="B20" t="n">
        <v>3</v>
      </c>
      <c r="C20" s="11">
        <f>(C19+$C$9)*(1+$C$10-$C$11)</f>
        <v/>
      </c>
      <c r="D20" s="11">
        <f>(D19+$C$9)*(1+$C$10-$C$12)</f>
        <v/>
      </c>
      <c r="E20" s="11">
        <f>D20-C20</f>
        <v/>
      </c>
      <c r="F20" s="11">
        <f>E20</f>
        <v/>
      </c>
    </row>
    <row r="21">
      <c r="B21" t="n">
        <v>4</v>
      </c>
      <c r="C21" s="11">
        <f>(C20+$C$9)*(1+$C$10-$C$11)</f>
        <v/>
      </c>
      <c r="D21" s="11">
        <f>(D20+$C$9)*(1+$C$10-$C$12)</f>
        <v/>
      </c>
      <c r="E21" s="11">
        <f>D21-C21</f>
        <v/>
      </c>
      <c r="F21" s="11">
        <f>E21</f>
        <v/>
      </c>
    </row>
    <row r="22">
      <c r="B22" t="n">
        <v>5</v>
      </c>
      <c r="C22" s="11">
        <f>(C21+$C$9)*(1+$C$10-$C$11)</f>
        <v/>
      </c>
      <c r="D22" s="11">
        <f>(D21+$C$9)*(1+$C$10-$C$12)</f>
        <v/>
      </c>
      <c r="E22" s="11">
        <f>D22-C22</f>
        <v/>
      </c>
      <c r="F22" s="11">
        <f>E22</f>
        <v/>
      </c>
    </row>
    <row r="23">
      <c r="B23" t="n">
        <v>6</v>
      </c>
      <c r="C23" s="11">
        <f>(C22+$C$9)*(1+$C$10-$C$11)</f>
        <v/>
      </c>
      <c r="D23" s="11">
        <f>(D22+$C$9)*(1+$C$10-$C$12)</f>
        <v/>
      </c>
      <c r="E23" s="11">
        <f>D23-C23</f>
        <v/>
      </c>
      <c r="F23" s="11">
        <f>E23</f>
        <v/>
      </c>
    </row>
    <row r="24">
      <c r="B24" t="n">
        <v>7</v>
      </c>
      <c r="C24" s="11">
        <f>(C23+$C$9)*(1+$C$10-$C$11)</f>
        <v/>
      </c>
      <c r="D24" s="11">
        <f>(D23+$C$9)*(1+$C$10-$C$12)</f>
        <v/>
      </c>
      <c r="E24" s="11">
        <f>D24-C24</f>
        <v/>
      </c>
      <c r="F24" s="11">
        <f>E24</f>
        <v/>
      </c>
    </row>
    <row r="25">
      <c r="B25" t="n">
        <v>8</v>
      </c>
      <c r="C25" s="11">
        <f>(C24+$C$9)*(1+$C$10-$C$11)</f>
        <v/>
      </c>
      <c r="D25" s="11">
        <f>(D24+$C$9)*(1+$C$10-$C$12)</f>
        <v/>
      </c>
      <c r="E25" s="11">
        <f>D25-C25</f>
        <v/>
      </c>
      <c r="F25" s="11">
        <f>E25</f>
        <v/>
      </c>
    </row>
    <row r="26">
      <c r="B26" t="n">
        <v>9</v>
      </c>
      <c r="C26" s="11">
        <f>(C25+$C$9)*(1+$C$10-$C$11)</f>
        <v/>
      </c>
      <c r="D26" s="11">
        <f>(D25+$C$9)*(1+$C$10-$C$12)</f>
        <v/>
      </c>
      <c r="E26" s="11">
        <f>D26-C26</f>
        <v/>
      </c>
      <c r="F26" s="11">
        <f>E26</f>
        <v/>
      </c>
    </row>
    <row r="27">
      <c r="B27" t="n">
        <v>10</v>
      </c>
      <c r="C27" s="11">
        <f>(C26+$C$9)*(1+$C$10-$C$11)</f>
        <v/>
      </c>
      <c r="D27" s="11">
        <f>(D26+$C$9)*(1+$C$10-$C$12)</f>
        <v/>
      </c>
      <c r="E27" s="11">
        <f>D27-C27</f>
        <v/>
      </c>
      <c r="F27" s="11">
        <f>E27</f>
        <v/>
      </c>
    </row>
    <row r="28">
      <c r="B28" t="n">
        <v>11</v>
      </c>
      <c r="C28" s="11">
        <f>(C27+$C$9)*(1+$C$10-$C$11)</f>
        <v/>
      </c>
      <c r="D28" s="11">
        <f>(D27+$C$9)*(1+$C$10-$C$12)</f>
        <v/>
      </c>
      <c r="E28" s="11">
        <f>D28-C28</f>
        <v/>
      </c>
      <c r="F28" s="11">
        <f>E28</f>
        <v/>
      </c>
    </row>
    <row r="29">
      <c r="B29" t="n">
        <v>12</v>
      </c>
      <c r="C29" s="11">
        <f>(C28+$C$9)*(1+$C$10-$C$11)</f>
        <v/>
      </c>
      <c r="D29" s="11">
        <f>(D28+$C$9)*(1+$C$10-$C$12)</f>
        <v/>
      </c>
      <c r="E29" s="11">
        <f>D29-C29</f>
        <v/>
      </c>
      <c r="F29" s="11">
        <f>E29</f>
        <v/>
      </c>
    </row>
    <row r="30">
      <c r="B30" t="n">
        <v>13</v>
      </c>
      <c r="C30" s="11">
        <f>(C29+$C$9)*(1+$C$10-$C$11)</f>
        <v/>
      </c>
      <c r="D30" s="11">
        <f>(D29+$C$9)*(1+$C$10-$C$12)</f>
        <v/>
      </c>
      <c r="E30" s="11">
        <f>D30-C30</f>
        <v/>
      </c>
      <c r="F30" s="11">
        <f>E30</f>
        <v/>
      </c>
    </row>
    <row r="31">
      <c r="B31" t="n">
        <v>14</v>
      </c>
      <c r="C31" s="11">
        <f>(C30+$C$9)*(1+$C$10-$C$11)</f>
        <v/>
      </c>
      <c r="D31" s="11">
        <f>(D30+$C$9)*(1+$C$10-$C$12)</f>
        <v/>
      </c>
      <c r="E31" s="11">
        <f>D31-C31</f>
        <v/>
      </c>
      <c r="F31" s="11">
        <f>E31</f>
        <v/>
      </c>
    </row>
    <row r="32">
      <c r="B32" t="n">
        <v>15</v>
      </c>
      <c r="C32" s="11">
        <f>(C31+$C$9)*(1+$C$10-$C$11)</f>
        <v/>
      </c>
      <c r="D32" s="11">
        <f>(D31+$C$9)*(1+$C$10-$C$12)</f>
        <v/>
      </c>
      <c r="E32" s="11">
        <f>D32-C32</f>
        <v/>
      </c>
      <c r="F32" s="11">
        <f>E32</f>
        <v/>
      </c>
    </row>
    <row r="33">
      <c r="B33" t="n">
        <v>16</v>
      </c>
      <c r="C33" s="11">
        <f>(C32+$C$9)*(1+$C$10-$C$11)</f>
        <v/>
      </c>
      <c r="D33" s="11">
        <f>(D32+$C$9)*(1+$C$10-$C$12)</f>
        <v/>
      </c>
      <c r="E33" s="11">
        <f>D33-C33</f>
        <v/>
      </c>
      <c r="F33" s="11">
        <f>E33</f>
        <v/>
      </c>
    </row>
    <row r="34">
      <c r="B34" t="n">
        <v>17</v>
      </c>
      <c r="C34" s="11">
        <f>(C33+$C$9)*(1+$C$10-$C$11)</f>
        <v/>
      </c>
      <c r="D34" s="11">
        <f>(D33+$C$9)*(1+$C$10-$C$12)</f>
        <v/>
      </c>
      <c r="E34" s="11">
        <f>D34-C34</f>
        <v/>
      </c>
      <c r="F34" s="11">
        <f>E34</f>
        <v/>
      </c>
    </row>
    <row r="35">
      <c r="B35" t="n">
        <v>18</v>
      </c>
      <c r="C35" s="11">
        <f>(C34+$C$9)*(1+$C$10-$C$11)</f>
        <v/>
      </c>
      <c r="D35" s="11">
        <f>(D34+$C$9)*(1+$C$10-$C$12)</f>
        <v/>
      </c>
      <c r="E35" s="11">
        <f>D35-C35</f>
        <v/>
      </c>
      <c r="F35" s="11">
        <f>E35</f>
        <v/>
      </c>
    </row>
    <row r="36">
      <c r="B36" t="n">
        <v>19</v>
      </c>
      <c r="C36" s="11">
        <f>(C35+$C$9)*(1+$C$10-$C$11)</f>
        <v/>
      </c>
      <c r="D36" s="11">
        <f>(D35+$C$9)*(1+$C$10-$C$12)</f>
        <v/>
      </c>
      <c r="E36" s="11">
        <f>D36-C36</f>
        <v/>
      </c>
      <c r="F36" s="11">
        <f>E36</f>
        <v/>
      </c>
    </row>
    <row r="37">
      <c r="B37" t="n">
        <v>20</v>
      </c>
      <c r="C37" s="11">
        <f>(C36+$C$9)*(1+$C$10-$C$11)</f>
        <v/>
      </c>
      <c r="D37" s="11">
        <f>(D36+$C$9)*(1+$C$10-$C$12)</f>
        <v/>
      </c>
      <c r="E37" s="11">
        <f>D37-C37</f>
        <v/>
      </c>
      <c r="F37" s="11">
        <f>E37</f>
        <v/>
      </c>
    </row>
    <row r="38">
      <c r="B38" t="n">
        <v>21</v>
      </c>
      <c r="C38" s="11">
        <f>(C37+$C$9)*(1+$C$10-$C$11)</f>
        <v/>
      </c>
      <c r="D38" s="11">
        <f>(D37+$C$9)*(1+$C$10-$C$12)</f>
        <v/>
      </c>
      <c r="E38" s="11">
        <f>D38-C38</f>
        <v/>
      </c>
      <c r="F38" s="11">
        <f>E38</f>
        <v/>
      </c>
    </row>
    <row r="39">
      <c r="B39" t="n">
        <v>22</v>
      </c>
      <c r="C39" s="11">
        <f>(C38+$C$9)*(1+$C$10-$C$11)</f>
        <v/>
      </c>
      <c r="D39" s="11">
        <f>(D38+$C$9)*(1+$C$10-$C$12)</f>
        <v/>
      </c>
      <c r="E39" s="11">
        <f>D39-C39</f>
        <v/>
      </c>
      <c r="F39" s="11">
        <f>E39</f>
        <v/>
      </c>
    </row>
    <row r="40">
      <c r="B40" t="n">
        <v>23</v>
      </c>
      <c r="C40" s="11">
        <f>(C39+$C$9)*(1+$C$10-$C$11)</f>
        <v/>
      </c>
      <c r="D40" s="11">
        <f>(D39+$C$9)*(1+$C$10-$C$12)</f>
        <v/>
      </c>
      <c r="E40" s="11">
        <f>D40-C40</f>
        <v/>
      </c>
      <c r="F40" s="11">
        <f>E40</f>
        <v/>
      </c>
    </row>
    <row r="41">
      <c r="B41" t="n">
        <v>24</v>
      </c>
      <c r="C41" s="11">
        <f>(C40+$C$9)*(1+$C$10-$C$11)</f>
        <v/>
      </c>
      <c r="D41" s="11">
        <f>(D40+$C$9)*(1+$C$10-$C$12)</f>
        <v/>
      </c>
      <c r="E41" s="11">
        <f>D41-C41</f>
        <v/>
      </c>
      <c r="F41" s="11">
        <f>E41</f>
        <v/>
      </c>
    </row>
    <row r="42">
      <c r="B42" t="n">
        <v>25</v>
      </c>
      <c r="C42" s="11">
        <f>(C41+$C$9)*(1+$C$10-$C$11)</f>
        <v/>
      </c>
      <c r="D42" s="11">
        <f>(D41+$C$9)*(1+$C$10-$C$12)</f>
        <v/>
      </c>
      <c r="E42" s="11">
        <f>D42-C42</f>
        <v/>
      </c>
      <c r="F42" s="11">
        <f>E42</f>
        <v/>
      </c>
    </row>
    <row r="43">
      <c r="B43" t="n">
        <v>26</v>
      </c>
      <c r="C43" s="11">
        <f>(C42+$C$9)*(1+$C$10-$C$11)</f>
        <v/>
      </c>
      <c r="D43" s="11">
        <f>(D42+$C$9)*(1+$C$10-$C$12)</f>
        <v/>
      </c>
      <c r="E43" s="11">
        <f>D43-C43</f>
        <v/>
      </c>
      <c r="F43" s="11">
        <f>E43</f>
        <v/>
      </c>
    </row>
    <row r="44">
      <c r="B44" t="n">
        <v>27</v>
      </c>
      <c r="C44" s="11">
        <f>(C43+$C$9)*(1+$C$10-$C$11)</f>
        <v/>
      </c>
      <c r="D44" s="11">
        <f>(D43+$C$9)*(1+$C$10-$C$12)</f>
        <v/>
      </c>
      <c r="E44" s="11">
        <f>D44-C44</f>
        <v/>
      </c>
      <c r="F44" s="11">
        <f>E44</f>
        <v/>
      </c>
    </row>
    <row r="45">
      <c r="B45" t="n">
        <v>28</v>
      </c>
      <c r="C45" s="11">
        <f>(C44+$C$9)*(1+$C$10-$C$11)</f>
        <v/>
      </c>
      <c r="D45" s="11">
        <f>(D44+$C$9)*(1+$C$10-$C$12)</f>
        <v/>
      </c>
      <c r="E45" s="11">
        <f>D45-C45</f>
        <v/>
      </c>
      <c r="F45" s="11">
        <f>E45</f>
        <v/>
      </c>
    </row>
    <row r="46">
      <c r="B46" t="n">
        <v>29</v>
      </c>
      <c r="C46" s="11">
        <f>(C45+$C$9)*(1+$C$10-$C$11)</f>
        <v/>
      </c>
      <c r="D46" s="11">
        <f>(D45+$C$9)*(1+$C$10-$C$12)</f>
        <v/>
      </c>
      <c r="E46" s="11">
        <f>D46-C46</f>
        <v/>
      </c>
      <c r="F46" s="11">
        <f>E46</f>
        <v/>
      </c>
    </row>
    <row r="47">
      <c r="B47" t="n">
        <v>30</v>
      </c>
      <c r="C47" s="11">
        <f>(C46+$C$9)*(1+$C$10-$C$11)</f>
        <v/>
      </c>
      <c r="D47" s="11">
        <f>(D46+$C$9)*(1+$C$10-$C$12)</f>
        <v/>
      </c>
      <c r="E47" s="11">
        <f>D47-C47</f>
        <v/>
      </c>
      <c r="F47" s="11">
        <f>E47</f>
        <v/>
      </c>
    </row>
    <row r="50">
      <c r="B50" s="3" t="inlineStr">
        <is>
          <t>30-YEAR SUMMARY</t>
        </is>
      </c>
    </row>
    <row r="52">
      <c r="B52" t="inlineStr">
        <is>
          <t>With Current Fees</t>
        </is>
      </c>
      <c r="C52" s="17">
        <f>C47</f>
        <v/>
      </c>
    </row>
    <row r="53">
      <c r="B53" t="inlineStr">
        <is>
          <t>With Low-Cost Funds</t>
        </is>
      </c>
      <c r="C53" s="18">
        <f>D47</f>
        <v/>
      </c>
    </row>
    <row r="54">
      <c r="B54" s="19" t="inlineStr">
        <is>
          <t>TOTAL COST OF FEES</t>
        </is>
      </c>
      <c r="C54" s="20">
        <f>C53-C52</f>
        <v/>
      </c>
    </row>
  </sheetData>
  <mergeCells count="6">
    <mergeCell ref="B15:F15"/>
    <mergeCell ref="B4:D4"/>
    <mergeCell ref="B50:D50"/>
    <mergeCell ref="B2:H2"/>
    <mergeCell ref="B3:H3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Fund Comparison</t>
        </is>
      </c>
    </row>
    <row r="3">
      <c r="B3" s="6" t="inlineStr">
        <is>
          <t>Find Lower-Cost Alternatives</t>
        </is>
      </c>
    </row>
    <row r="4">
      <c r="B4" s="7" t="inlineStr">
        <is>
          <t>Powered by Charge Wealth</t>
        </is>
      </c>
    </row>
    <row r="6">
      <c r="B6" s="3" t="inlineStr">
        <is>
          <t>COMPARE SIMILAR FUNDS</t>
        </is>
      </c>
    </row>
    <row r="8">
      <c r="B8" s="13" t="inlineStr">
        <is>
          <t>Fund Name</t>
        </is>
      </c>
      <c r="C8" s="13" t="inlineStr">
        <is>
          <t>Ticker</t>
        </is>
      </c>
      <c r="D8" s="13" t="inlineStr">
        <is>
          <t>Type</t>
        </is>
      </c>
      <c r="E8" s="13" t="inlineStr">
        <is>
          <t>Expense Ratio</t>
        </is>
      </c>
      <c r="F8" s="13" t="inlineStr">
        <is>
          <t>10Y Return</t>
        </is>
      </c>
      <c r="G8" s="13" t="inlineStr">
        <is>
          <t>Morningstar</t>
        </is>
      </c>
    </row>
    <row r="9">
      <c r="B9" s="21" t="inlineStr">
        <is>
          <t>S&amp;P 500 Index Funds</t>
        </is>
      </c>
    </row>
    <row r="10">
      <c r="B10" t="inlineStr">
        <is>
          <t>Fidelity 500 Index</t>
        </is>
      </c>
      <c r="C10" t="inlineStr">
        <is>
          <t>FXAIX</t>
        </is>
      </c>
      <c r="D10" t="inlineStr">
        <is>
          <t>Index</t>
        </is>
      </c>
      <c r="E10" s="14" t="n">
        <v>0.00015</v>
      </c>
      <c r="F10" s="16" t="n">
        <v>0.1215</v>
      </c>
      <c r="G10" t="inlineStr">
        <is>
          <t>⭐⭐⭐⭐⭐</t>
        </is>
      </c>
    </row>
    <row r="11">
      <c r="B11" t="inlineStr">
        <is>
          <t>Vanguard 500 Index</t>
        </is>
      </c>
      <c r="C11" t="inlineStr">
        <is>
          <t>VFIAX</t>
        </is>
      </c>
      <c r="D11" t="inlineStr">
        <is>
          <t>Index</t>
        </is>
      </c>
      <c r="E11" s="14" t="n">
        <v>0.0004</v>
      </c>
      <c r="F11" s="16" t="n">
        <v>0.1214</v>
      </c>
      <c r="G11" t="inlineStr">
        <is>
          <t>⭐⭐⭐⭐⭐</t>
        </is>
      </c>
    </row>
    <row r="12">
      <c r="B12" t="inlineStr">
        <is>
          <t>Schwab S&amp;P 500 Index</t>
        </is>
      </c>
      <c r="C12" t="inlineStr">
        <is>
          <t>SWPPX</t>
        </is>
      </c>
      <c r="D12" t="inlineStr">
        <is>
          <t>Index</t>
        </is>
      </c>
      <c r="E12" s="14" t="n">
        <v>0.0002</v>
      </c>
      <c r="F12" s="16" t="n">
        <v>0.1213</v>
      </c>
      <c r="G12" t="inlineStr">
        <is>
          <t>⭐⭐⭐⭐⭐</t>
        </is>
      </c>
    </row>
    <row r="13">
      <c r="B13" t="inlineStr">
        <is>
          <t>iShares S&amp;P 500 ETF</t>
        </is>
      </c>
      <c r="C13" t="inlineStr">
        <is>
          <t>IVV</t>
        </is>
      </c>
      <c r="D13" t="inlineStr">
        <is>
          <t>ETF</t>
        </is>
      </c>
      <c r="E13" s="14" t="n">
        <v>0.0003</v>
      </c>
      <c r="F13" s="16" t="n">
        <v>0.1214</v>
      </c>
      <c r="G13" t="inlineStr">
        <is>
          <t>⭐⭐⭐⭐⭐</t>
        </is>
      </c>
    </row>
    <row r="14">
      <c r="B14" t="inlineStr">
        <is>
          <t>American Funds Gr Fund</t>
        </is>
      </c>
      <c r="C14" t="inlineStr">
        <is>
          <t>AGTHX</t>
        </is>
      </c>
      <c r="D14" t="inlineStr">
        <is>
          <t>Active</t>
        </is>
      </c>
      <c r="E14" s="14" t="n">
        <v>0.0062</v>
      </c>
      <c r="F14" s="16" t="n">
        <v>0.1185</v>
      </c>
      <c r="G14" t="inlineStr">
        <is>
          <t>⭐⭐⭐⭐</t>
        </is>
      </c>
    </row>
    <row r="17">
      <c r="B17" s="21" t="inlineStr">
        <is>
          <t>Total Bond Market Funds</t>
        </is>
      </c>
    </row>
    <row r="18">
      <c r="B18" t="inlineStr">
        <is>
          <t>Vanguard Total Bond</t>
        </is>
      </c>
      <c r="C18" t="inlineStr">
        <is>
          <t>BND</t>
        </is>
      </c>
      <c r="D18" t="inlineStr">
        <is>
          <t>Index</t>
        </is>
      </c>
      <c r="E18" s="14" t="n">
        <v>0.0003</v>
      </c>
      <c r="F18" s="16" t="n">
        <v>0.0145</v>
      </c>
      <c r="G18" t="inlineStr">
        <is>
          <t>⭐⭐⭐⭐</t>
        </is>
      </c>
    </row>
    <row r="19">
      <c r="B19" t="inlineStr">
        <is>
          <t>Fidelity US Bond Index</t>
        </is>
      </c>
      <c r="C19" t="inlineStr">
        <is>
          <t>FXNAX</t>
        </is>
      </c>
      <c r="D19" t="inlineStr">
        <is>
          <t>Index</t>
        </is>
      </c>
      <c r="E19" s="14" t="n">
        <v>0.00025</v>
      </c>
      <c r="F19" s="16" t="n">
        <v>0.0148</v>
      </c>
      <c r="G19" t="inlineStr">
        <is>
          <t>⭐⭐⭐⭐</t>
        </is>
      </c>
    </row>
    <row r="20">
      <c r="B20" t="inlineStr">
        <is>
          <t>iShares Core US Agg Bond</t>
        </is>
      </c>
      <c r="C20" t="inlineStr">
        <is>
          <t>AGG</t>
        </is>
      </c>
      <c r="D20" t="inlineStr">
        <is>
          <t>ETF</t>
        </is>
      </c>
      <c r="E20" s="14" t="n">
        <v>0.0003</v>
      </c>
      <c r="F20" s="16" t="n">
        <v>0.0142</v>
      </c>
      <c r="G20" t="inlineStr">
        <is>
          <t>⭐⭐⭐⭐</t>
        </is>
      </c>
    </row>
    <row r="21">
      <c r="B21" t="inlineStr">
        <is>
          <t>PIMCO Total Return</t>
        </is>
      </c>
      <c r="C21" t="inlineStr">
        <is>
          <t>PTTRX</t>
        </is>
      </c>
      <c r="D21" t="inlineStr">
        <is>
          <t>Active</t>
        </is>
      </c>
      <c r="E21" s="14" t="n">
        <v>0.0071</v>
      </c>
      <c r="F21" s="16" t="n">
        <v>0.0185</v>
      </c>
      <c r="G21" t="inlineStr">
        <is>
          <t>⭐⭐⭐</t>
        </is>
      </c>
    </row>
  </sheetData>
  <mergeCells count="6">
    <mergeCell ref="B17:G17"/>
    <mergeCell ref="B9:G9"/>
    <mergeCell ref="B4:D4"/>
    <mergeCell ref="B2:H2"/>
    <mergeCell ref="B3:H3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40" customWidth="1" min="2" max="2"/>
    <col width="20" customWidth="1" min="3" max="3"/>
    <col width="30" customWidth="1" min="4" max="4"/>
  </cols>
  <sheetData>
    <row r="2">
      <c r="B2" s="1" t="inlineStr">
        <is>
          <t>Hidden Fee Checklist</t>
        </is>
      </c>
    </row>
    <row r="3">
      <c r="B3" s="6" t="inlineStr">
        <is>
          <t>Fees You Might Be Missing</t>
        </is>
      </c>
    </row>
    <row r="4">
      <c r="B4" s="7" t="inlineStr">
        <is>
          <t>Powered by Charge Wealth</t>
        </is>
      </c>
    </row>
    <row r="6">
      <c r="B6" s="3" t="inlineStr">
        <is>
          <t>HIDDEN FEE CHECKLIST</t>
        </is>
      </c>
    </row>
    <row r="8">
      <c r="B8" s="13" t="inlineStr">
        <is>
          <t>Fee Type</t>
        </is>
      </c>
      <c r="C8" s="13" t="inlineStr">
        <is>
          <t>Your Cost</t>
        </is>
      </c>
      <c r="D8" s="13" t="inlineStr">
        <is>
          <t>How to Reduce</t>
        </is>
      </c>
    </row>
    <row r="9">
      <c r="B9" t="inlineStr">
        <is>
          <t>401(k) Plan Admin Fees</t>
        </is>
      </c>
      <c r="C9" s="22" t="inlineStr"/>
      <c r="D9" s="23" t="inlineStr">
        <is>
          <t>Ask HR for fee disclosure</t>
        </is>
      </c>
    </row>
    <row r="10">
      <c r="B10" t="inlineStr">
        <is>
          <t>Mutual Fund Load Fees</t>
        </is>
      </c>
      <c r="C10" s="22" t="inlineStr"/>
      <c r="D10" s="23" t="inlineStr">
        <is>
          <t>Buy no-load funds only</t>
        </is>
      </c>
    </row>
    <row r="11">
      <c r="B11" t="inlineStr">
        <is>
          <t>12b-1 Marketing Fees</t>
        </is>
      </c>
      <c r="C11" s="22" t="inlineStr"/>
      <c r="D11" s="23" t="inlineStr">
        <is>
          <t>Check in fund prospectus</t>
        </is>
      </c>
    </row>
    <row r="12">
      <c r="B12" t="inlineStr">
        <is>
          <t>Account Maintenance Fees</t>
        </is>
      </c>
      <c r="C12" s="22" t="inlineStr"/>
      <c r="D12" s="23" t="inlineStr">
        <is>
          <t>Meet minimum balance or switch</t>
        </is>
      </c>
    </row>
    <row r="13">
      <c r="B13" t="inlineStr">
        <is>
          <t>Trading Commissions</t>
        </is>
      </c>
      <c r="C13" s="22" t="inlineStr"/>
      <c r="D13" s="23" t="inlineStr">
        <is>
          <t>Use commission-free brokers</t>
        </is>
      </c>
    </row>
    <row r="14">
      <c r="B14" t="inlineStr">
        <is>
          <t>Bid-Ask Spreads (ETFs)</t>
        </is>
      </c>
      <c r="C14" s="22" t="inlineStr"/>
      <c r="D14" s="23" t="inlineStr">
        <is>
          <t>Use limit orders</t>
        </is>
      </c>
    </row>
    <row r="15">
      <c r="B15" t="inlineStr">
        <is>
          <t>Advisory/Management Fees</t>
        </is>
      </c>
      <c r="C15" s="22" t="inlineStr"/>
      <c r="D15" s="23" t="inlineStr">
        <is>
          <t>Consider DIY or robo-advisors</t>
        </is>
      </c>
    </row>
    <row r="16">
      <c r="B16" t="inlineStr">
        <is>
          <t>Wire Transfer Fees</t>
        </is>
      </c>
      <c r="C16" s="22" t="inlineStr"/>
      <c r="D16" s="23" t="inlineStr">
        <is>
          <t>Use ACH instead</t>
        </is>
      </c>
    </row>
    <row r="17">
      <c r="B17" t="inlineStr">
        <is>
          <t>Paper Statement Fees</t>
        </is>
      </c>
      <c r="C17" s="22" t="inlineStr"/>
      <c r="D17" s="23" t="inlineStr">
        <is>
          <t>Go paperless</t>
        </is>
      </c>
    </row>
    <row r="18">
      <c r="B18" t="inlineStr">
        <is>
          <t>Account Closure Fees</t>
        </is>
      </c>
      <c r="C18" s="22" t="inlineStr"/>
      <c r="D18" s="23" t="inlineStr">
        <is>
          <t>Check before opening</t>
        </is>
      </c>
    </row>
    <row r="21">
      <c r="B21" s="24" t="inlineStr">
        <is>
          <t>💡 PRO TIP: Request a 'fee disclosure statement' from all your accounts annually.</t>
        </is>
      </c>
    </row>
  </sheetData>
  <mergeCells count="5">
    <mergeCell ref="B4:D4"/>
    <mergeCell ref="B2:H2"/>
    <mergeCell ref="B21:D21"/>
    <mergeCell ref="B3:H3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2026-01-30T13:36:33+00:00Z</dcterms:created>
  <dcterms:modified xmlns:dcterms="http://purl.org/dc/terms/" xmlns:xsi="http://www.w3.org/2001/XMLSchema-instance" xsi:type="dcterms:W3CDTF">2026-01-30T13:36:33+00:00Z</dcterms:modified>
</cp:coreProperties>
</file>