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x Estimator" sheetId="2" state="visible" r:id="rId2"/>
    <sheet xmlns:r="http://schemas.openxmlformats.org/officeDocument/2006/relationships" name="Deductions" sheetId="3" state="visible" r:id="rId3"/>
    <sheet xmlns:r="http://schemas.openxmlformats.org/officeDocument/2006/relationships" name="Quarterly Payments" sheetId="4" state="visible" r:id="rId4"/>
    <sheet xmlns:r="http://schemas.openxmlformats.org/officeDocument/2006/relationships" name="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8">
    <font>
      <name val="Calibri"/>
      <family val="2"/>
      <color theme="1"/>
      <sz val="11"/>
      <scheme val="minor"/>
    </font>
    <font>
      <name val="Calibri"/>
      <b val="1"/>
      <color rgb="00F5A623"/>
      <sz val="24"/>
    </font>
    <font>
      <name val="Calibri"/>
      <color rgb="002D3436"/>
      <sz val="12"/>
    </font>
    <font>
      <name val="Calibri"/>
      <b val="1"/>
      <color rgb="00F5A623"/>
      <sz val="14"/>
    </font>
    <font>
      <name val="Calibri"/>
      <color rgb="002D3436"/>
      <sz val="11"/>
    </font>
    <font>
      <name val="Calibri"/>
      <i val="1"/>
      <color rgb="00F5A623"/>
      <sz val="10"/>
    </font>
    <font>
      <name val="Calibri"/>
      <color rgb="00636E72"/>
      <sz val="14"/>
    </font>
    <font>
      <name val="Calibri"/>
      <i val="1"/>
      <color rgb="00636E72"/>
      <sz val="10"/>
    </font>
    <font>
      <b val="1"/>
      <color rgb="00F5A623"/>
    </font>
    <font>
      <b val="1"/>
      <sz val="12"/>
    </font>
    <font>
      <b val="1"/>
      <color rgb="00F5A623"/>
      <sz val="12"/>
    </font>
    <font>
      <b val="1"/>
    </font>
    <font>
      <b val="1"/>
      <sz val="14"/>
    </font>
    <font>
      <b val="1"/>
      <color rgb="00F5A623"/>
      <sz val="14"/>
    </font>
    <font>
      <b val="1"/>
      <color rgb="00E74C3C"/>
      <sz val="14"/>
    </font>
    <font>
      <b val="1"/>
      <color rgb="002D3436"/>
      <sz val="12"/>
    </font>
    <font>
      <name val="Calibri"/>
      <b val="1"/>
      <color rgb="00FFFFFF"/>
      <sz val="12"/>
    </font>
    <font>
      <color rgb="002D3436"/>
      <sz val="11"/>
    </font>
  </fonts>
  <fills count="4">
    <fill>
      <patternFill/>
    </fill>
    <fill>
      <patternFill patternType="gray125"/>
    </fill>
    <fill>
      <patternFill patternType="solid">
        <fgColor rgb="00FFF3D4"/>
        <bgColor rgb="00FFF3D4"/>
      </patternFill>
    </fill>
    <fill>
      <patternFill patternType="solid">
        <fgColor rgb="00F5A623"/>
        <bgColor rgb="00F5A623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3" fillId="2" borderId="0" pivotButton="0" quotePrefix="0" xfId="0"/>
    <xf numFmtId="164" fontId="14" fillId="0" borderId="0" pivotButton="0" quotePrefix="0" xfId="0"/>
    <xf numFmtId="10" fontId="15" fillId="0" borderId="0" pivotButton="0" quotePrefix="0" xfId="0"/>
    <xf numFmtId="9" fontId="0" fillId="0" borderId="0" pivotButton="0" quotePrefix="0" xfId="0"/>
    <xf numFmtId="0" fontId="16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13" fillId="0" borderId="0" pivotButton="0" quotePrefix="0" xfId="0"/>
    <xf numFmtId="164" fontId="12" fillId="0" borderId="0" pivotButton="0" quotePrefix="0" xfId="0"/>
    <xf numFmtId="165" fontId="0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dxfs count="1"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" t="inlineStr">
        <is>
          <t>📊 Tax Planning Command Center</t>
        </is>
      </c>
    </row>
    <row r="4">
      <c r="B4" s="2" t="inlineStr">
        <is>
          <t>Welcome to your premium financial planning tool from Charge Wealth!</t>
        </is>
      </c>
    </row>
    <row r="6" ht="25" customHeight="1">
      <c r="B6" s="3" t="inlineStr">
        <is>
          <t>🎯 Overview</t>
        </is>
      </c>
    </row>
    <row r="7" ht="35" customHeight="1">
      <c r="B7" s="4" t="inlineStr">
        <is>
          <t xml:space="preserve">  • This Tax Planning Command Center helps you minimize taxes legally and maximize refunds.</t>
        </is>
      </c>
    </row>
    <row r="8" ht="35" customHeight="1">
      <c r="B8" s="4" t="inlineStr">
        <is>
          <t xml:space="preserve">  • Track deductions throughout the year, estimate quarterly payments, and plan strategies.</t>
        </is>
      </c>
    </row>
    <row r="9" ht="20" customHeight="1">
      <c r="B9" s="4" t="inlineStr">
        <is>
          <t xml:space="preserve">  • Updated for current tax brackets and standard deductions.</t>
        </is>
      </c>
    </row>
    <row r="11" ht="25" customHeight="1">
      <c r="B11" s="3" t="inlineStr">
        <is>
          <t>📝 Getting Started</t>
        </is>
      </c>
    </row>
    <row r="12" ht="20" customHeight="1">
      <c r="B12" s="4" t="inlineStr">
        <is>
          <t xml:space="preserve">  • Enter your filing status and income on the 'Tax Estimator' sheet</t>
        </is>
      </c>
    </row>
    <row r="13" ht="20" customHeight="1">
      <c r="B13" s="4" t="inlineStr">
        <is>
          <t xml:space="preserve">  • Track deductions as they occur in the 'Deductions' sheet</t>
        </is>
      </c>
    </row>
    <row r="14" ht="20" customHeight="1">
      <c r="B14" s="4" t="inlineStr">
        <is>
          <t xml:space="preserve">  • Use 'Quarterly Payments' to calculate estimated tax payments</t>
        </is>
      </c>
    </row>
    <row r="15" ht="20" customHeight="1">
      <c r="B15" s="4" t="inlineStr">
        <is>
          <t xml:space="preserve">  • Review 'Optimization' for tax-saving strategies</t>
        </is>
      </c>
    </row>
    <row r="17" ht="25" customHeight="1">
      <c r="B17" s="3" t="inlineStr">
        <is>
          <t>💡 Pro Tips</t>
        </is>
      </c>
    </row>
    <row r="18" ht="20" customHeight="1">
      <c r="B18" s="4" t="inlineStr">
        <is>
          <t xml:space="preserve">  • Update deductions monthly to catch everything</t>
        </is>
      </c>
    </row>
    <row r="19" ht="20" customHeight="1">
      <c r="B19" s="4" t="inlineStr">
        <is>
          <t xml:space="preserve">  • Compare standard vs itemized deductions quarterly</t>
        </is>
      </c>
    </row>
    <row r="20" ht="20" customHeight="1">
      <c r="B20" s="4" t="inlineStr">
        <is>
          <t xml:space="preserve">  • Max out retirement contributions before year-end</t>
        </is>
      </c>
    </row>
    <row r="21" ht="20" customHeight="1">
      <c r="B21" s="4" t="inlineStr">
        <is>
          <t xml:space="preserve">  • Consider timing of income and deductions across tax years</t>
        </is>
      </c>
    </row>
    <row r="23" ht="25" customHeight="1">
      <c r="B23" s="3" t="inlineStr">
        <is>
          <t>⚠️ Disclaimer</t>
        </is>
      </c>
    </row>
    <row r="24" ht="20" customHeight="1">
      <c r="B24" s="4" t="inlineStr">
        <is>
          <t xml:space="preserve">  • This tool is for planning purposes only</t>
        </is>
      </c>
    </row>
    <row r="25" ht="20" customHeight="1">
      <c r="B25" s="4" t="inlineStr">
        <is>
          <t xml:space="preserve">  • Consult a qualified tax professional for advice</t>
        </is>
      </c>
    </row>
    <row r="26" ht="20" customHeight="1">
      <c r="B26" s="4" t="inlineStr">
        <is>
          <t xml:space="preserve">  • Tax laws change - verify current rates annually</t>
        </is>
      </c>
    </row>
    <row r="29">
      <c r="B29" s="5" t="inlineStr">
        <is>
          <t>Questions? Visit chargewealth.co for support and more premium tools.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1" t="inlineStr">
        <is>
          <t>Tax Planning Command Center</t>
        </is>
      </c>
    </row>
    <row r="3">
      <c r="B3" s="6" t="inlineStr">
        <is>
          <t>Estimate Your Tax Liability</t>
        </is>
      </c>
    </row>
    <row r="4">
      <c r="B4" s="7" t="inlineStr">
        <is>
          <t>Powered by Charge Wealth</t>
        </is>
      </c>
    </row>
    <row r="6">
      <c r="B6" s="3" t="inlineStr">
        <is>
          <t>FILING INFORMATION</t>
        </is>
      </c>
    </row>
    <row r="8">
      <c r="B8" s="8" t="inlineStr">
        <is>
          <t>Filing Status</t>
        </is>
      </c>
      <c r="C8" t="inlineStr">
        <is>
          <t>Single</t>
        </is>
      </c>
    </row>
    <row r="9">
      <c r="B9" s="8" t="inlineStr">
        <is>
          <t>Tax Year</t>
        </is>
      </c>
      <c r="C9" t="n">
        <v>2024</v>
      </c>
    </row>
    <row r="11">
      <c r="B11" s="3" t="inlineStr">
        <is>
          <t>INCOME</t>
        </is>
      </c>
    </row>
    <row r="13">
      <c r="B13" s="8" t="inlineStr">
        <is>
          <t>W-2 Wages</t>
        </is>
      </c>
      <c r="C13" s="9" t="n">
        <v>85000</v>
      </c>
    </row>
    <row r="14">
      <c r="B14" s="8" t="inlineStr">
        <is>
          <t>Self-Employment Income</t>
        </is>
      </c>
      <c r="C14" s="9" t="n">
        <v>25000</v>
      </c>
    </row>
    <row r="15">
      <c r="B15" s="8" t="inlineStr">
        <is>
          <t>Interest Income</t>
        </is>
      </c>
      <c r="C15" s="9" t="n">
        <v>500</v>
      </c>
    </row>
    <row r="16">
      <c r="B16" s="8" t="inlineStr">
        <is>
          <t>Dividend Income</t>
        </is>
      </c>
      <c r="C16" s="9" t="n">
        <v>1200</v>
      </c>
    </row>
    <row r="17">
      <c r="B17" s="8" t="inlineStr">
        <is>
          <t>Capital Gains (Long-term)</t>
        </is>
      </c>
      <c r="C17" s="9" t="n">
        <v>3000</v>
      </c>
    </row>
    <row r="18">
      <c r="B18" s="8" t="inlineStr">
        <is>
          <t>Capital Gains (Short-term)</t>
        </is>
      </c>
      <c r="C18" s="9" t="n">
        <v>1500</v>
      </c>
    </row>
    <row r="19">
      <c r="B19" s="8" t="inlineStr">
        <is>
          <t>Other Income</t>
        </is>
      </c>
      <c r="C19" s="9" t="n">
        <v>0</v>
      </c>
    </row>
    <row r="21">
      <c r="B21" s="10" t="inlineStr">
        <is>
          <t>GROSS INCOME</t>
        </is>
      </c>
      <c r="C21" s="11">
        <f>SUM(C13:C19)</f>
        <v/>
      </c>
    </row>
    <row r="23">
      <c r="B23" s="3" t="inlineStr">
        <is>
          <t>ADJUSTMENTS (Above-the-Line)</t>
        </is>
      </c>
    </row>
    <row r="25">
      <c r="B25" s="8" t="inlineStr">
        <is>
          <t>Traditional IRA Contribution</t>
        </is>
      </c>
      <c r="C25" s="9" t="n">
        <v>6500</v>
      </c>
    </row>
    <row r="26">
      <c r="B26" s="8" t="inlineStr">
        <is>
          <t>HSA Contribution</t>
        </is>
      </c>
      <c r="C26" s="9" t="n">
        <v>3850</v>
      </c>
    </row>
    <row r="27">
      <c r="B27" s="8" t="inlineStr">
        <is>
          <t>Self-Employment Tax (50%)</t>
        </is>
      </c>
      <c r="C27" s="9">
        <f>C14*0.0765</f>
        <v/>
      </c>
    </row>
    <row r="28">
      <c r="B28" s="8" t="inlineStr">
        <is>
          <t>Student Loan Interest</t>
        </is>
      </c>
      <c r="C28" s="9" t="n">
        <v>2500</v>
      </c>
    </row>
    <row r="29">
      <c r="B29" s="8" t="inlineStr">
        <is>
          <t>Educator Expenses</t>
        </is>
      </c>
      <c r="C29" s="9" t="n">
        <v>300</v>
      </c>
    </row>
    <row r="31">
      <c r="B31" s="10" t="inlineStr">
        <is>
          <t>TOTAL ADJUSTMENTS</t>
        </is>
      </c>
      <c r="C31" s="9">
        <f>SUM(C25:C29)</f>
        <v/>
      </c>
    </row>
    <row r="32">
      <c r="B32" s="12" t="inlineStr">
        <is>
          <t>ADJUSTED GROSS INCOME (AGI)</t>
        </is>
      </c>
      <c r="C32" s="13">
        <f>C21-C31</f>
        <v/>
      </c>
    </row>
    <row r="34">
      <c r="B34" s="3" t="inlineStr">
        <is>
          <t>DEDUCTIONS</t>
        </is>
      </c>
    </row>
    <row r="36">
      <c r="B36" t="inlineStr">
        <is>
          <t>Standard Deduction (2024 Single)</t>
        </is>
      </c>
      <c r="C36" s="9" t="n">
        <v>14600</v>
      </c>
    </row>
    <row r="37">
      <c r="B37" t="inlineStr">
        <is>
          <t>Itemized Deductions</t>
        </is>
      </c>
      <c r="C37" s="9">
        <f>Deductions!E50</f>
        <v/>
      </c>
    </row>
    <row r="38">
      <c r="B38" s="10" t="inlineStr">
        <is>
          <t>DEDUCTION USED (Higher of)</t>
        </is>
      </c>
      <c r="C38" s="14">
        <f>MAX(C36,C37)</f>
        <v/>
      </c>
    </row>
    <row r="40">
      <c r="B40" s="15" t="inlineStr">
        <is>
          <t>TAXABLE INCOME</t>
        </is>
      </c>
      <c r="C40" s="16">
        <f>MAX(0,C32-C38)</f>
        <v/>
      </c>
    </row>
    <row r="42">
      <c r="B42" s="3" t="inlineStr">
        <is>
          <t>TAX CALCULATION</t>
        </is>
      </c>
    </row>
    <row r="44">
      <c r="B44" t="inlineStr">
        <is>
          <t>Federal Income Tax</t>
        </is>
      </c>
      <c r="C44" s="9">
        <f>IF(C40&lt;=11600,C40*0.10,IF(C40&lt;=47150,1160+(C40-11600)*0.12,IF(C40&lt;=100525,5426+(C40-47150)*0.22,IF(C40&lt;=191950,17168.5+(C40-100525)*0.24,IF(C40&lt;=243725,39110.5+(C40-191950)*0.32,IF(C40&lt;=609350,55678.5+(C40-243725)*0.35,183647.25+(C40-609350)*0.37))))))</f>
        <v/>
      </c>
    </row>
    <row r="45">
      <c r="B45" t="inlineStr">
        <is>
          <t>Self-Employment Tax</t>
        </is>
      </c>
      <c r="C45" s="9">
        <f>C14*0.153</f>
        <v/>
      </c>
    </row>
    <row r="46">
      <c r="B46" t="inlineStr">
        <is>
          <t>State Tax (Est. 5%)</t>
        </is>
      </c>
      <c r="C46" s="9">
        <f>C40*0.05</f>
        <v/>
      </c>
    </row>
    <row r="48">
      <c r="B48" s="15" t="inlineStr">
        <is>
          <t>TOTAL TAX LIABILITY</t>
        </is>
      </c>
      <c r="C48" s="17">
        <f>C44+C45+C46</f>
        <v/>
      </c>
    </row>
    <row r="50">
      <c r="B50" t="inlineStr">
        <is>
          <t>Effective Tax Rate</t>
        </is>
      </c>
      <c r="C50" s="18">
        <f>IF(C21&gt;0,C48/C21,0)</f>
        <v/>
      </c>
    </row>
    <row r="51">
      <c r="B51" t="inlineStr">
        <is>
          <t>Marginal Tax Rate</t>
        </is>
      </c>
      <c r="C51" s="19">
        <f>IF(C40&lt;=11600,0.10,IF(C40&lt;=47150,0.12,IF(C40&lt;=100525,0.22,IF(C40&lt;=191950,0.24,IF(C40&lt;=243725,0.32,IF(C40&lt;=609350,0.35,0.37))))))</f>
        <v/>
      </c>
    </row>
  </sheetData>
  <mergeCells count="8">
    <mergeCell ref="B11:D11"/>
    <mergeCell ref="B42:D42"/>
    <mergeCell ref="B23:D23"/>
    <mergeCell ref="B4:D4"/>
    <mergeCell ref="B2:H2"/>
    <mergeCell ref="B3:H3"/>
    <mergeCell ref="B6:D6"/>
    <mergeCell ref="B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1" t="inlineStr">
        <is>
          <t>Deduction Tracker</t>
        </is>
      </c>
    </row>
    <row r="3">
      <c r="B3" s="6" t="inlineStr">
        <is>
          <t>Itemized Deductions</t>
        </is>
      </c>
    </row>
    <row r="4">
      <c r="B4" s="7" t="inlineStr">
        <is>
          <t>Powered by Charge Wealth</t>
        </is>
      </c>
    </row>
    <row r="6">
      <c r="B6" s="3" t="inlineStr">
        <is>
          <t>MEDICAL EXPENSES</t>
        </is>
      </c>
    </row>
    <row r="7">
      <c r="B7" s="20" t="inlineStr">
        <is>
          <t>Description</t>
        </is>
      </c>
      <c r="C7" s="20" t="inlineStr">
        <is>
          <t>Date</t>
        </is>
      </c>
      <c r="D7" s="20" t="inlineStr">
        <is>
          <t>Amount</t>
        </is>
      </c>
      <c r="E7" s="20" t="inlineStr">
        <is>
          <t>Category</t>
        </is>
      </c>
    </row>
    <row r="8">
      <c r="B8" s="21" t="n"/>
      <c r="C8" s="21" t="n"/>
      <c r="D8" s="21" t="n"/>
      <c r="E8" s="21" t="n"/>
    </row>
    <row r="9">
      <c r="B9" s="21" t="n"/>
      <c r="C9" s="21" t="n"/>
      <c r="D9" s="21" t="n"/>
      <c r="E9" s="21" t="n"/>
    </row>
    <row r="10">
      <c r="B10" s="21" t="n"/>
      <c r="C10" s="21" t="n"/>
      <c r="D10" s="21" t="n"/>
      <c r="E10" s="21" t="n"/>
    </row>
    <row r="11">
      <c r="B11" s="21" t="n"/>
      <c r="C11" s="21" t="n"/>
      <c r="D11" s="21" t="n"/>
      <c r="E11" s="21" t="n"/>
    </row>
    <row r="12">
      <c r="B12" s="21" t="n"/>
      <c r="C12" s="21" t="n"/>
      <c r="D12" s="21" t="n"/>
      <c r="E12" s="21" t="n"/>
    </row>
    <row r="13">
      <c r="B13" t="inlineStr">
        <is>
          <t>Medical Subtotal</t>
        </is>
      </c>
      <c r="D13" s="9">
        <f>SUM(D8:D12)</f>
        <v/>
      </c>
    </row>
    <row r="15">
      <c r="B15" s="3" t="inlineStr">
        <is>
          <t>STATE &amp; LOCAL TAXES (SALT - Max $10,000)</t>
        </is>
      </c>
    </row>
    <row r="16">
      <c r="B16" t="inlineStr">
        <is>
          <t>State Income Tax Paid</t>
        </is>
      </c>
      <c r="D16" s="9" t="n">
        <v>4500</v>
      </c>
    </row>
    <row r="17">
      <c r="B17" t="inlineStr">
        <is>
          <t>Property Tax</t>
        </is>
      </c>
      <c r="D17" s="9" t="n">
        <v>5200</v>
      </c>
    </row>
    <row r="18">
      <c r="B18" t="inlineStr">
        <is>
          <t>Personal Property Tax</t>
        </is>
      </c>
      <c r="D18" s="9" t="n">
        <v>300</v>
      </c>
    </row>
    <row r="19">
      <c r="B19" t="inlineStr">
        <is>
          <t>SALT Subtotal (Capped)</t>
        </is>
      </c>
      <c r="D19" s="14">
        <f>MIN(10000,SUM(D16:D18))</f>
        <v/>
      </c>
    </row>
    <row r="21">
      <c r="B21" s="3" t="inlineStr">
        <is>
          <t>MORTGAGE INTEREST</t>
        </is>
      </c>
    </row>
    <row r="22">
      <c r="B22" t="inlineStr">
        <is>
          <t>Home Mortgage Interest (1098)</t>
        </is>
      </c>
      <c r="D22" s="9" t="n">
        <v>8500</v>
      </c>
    </row>
    <row r="24">
      <c r="B24" s="3" t="inlineStr">
        <is>
          <t>CHARITABLE CONTRIBUTIONS</t>
        </is>
      </c>
    </row>
    <row r="25">
      <c r="B25" s="20" t="inlineStr">
        <is>
          <t>Description</t>
        </is>
      </c>
      <c r="C25" s="20" t="inlineStr">
        <is>
          <t>Date</t>
        </is>
      </c>
      <c r="D25" s="20" t="inlineStr">
        <is>
          <t>Amount</t>
        </is>
      </c>
      <c r="E25" s="20" t="inlineStr">
        <is>
          <t>Category</t>
        </is>
      </c>
    </row>
    <row r="26">
      <c r="B26" s="21" t="n"/>
      <c r="C26" s="21" t="n"/>
      <c r="D26" s="21" t="n"/>
      <c r="E26" s="21" t="n"/>
    </row>
    <row r="27">
      <c r="B27" s="21" t="n"/>
      <c r="C27" s="21" t="n"/>
      <c r="D27" s="21" t="n"/>
      <c r="E27" s="21" t="n"/>
    </row>
    <row r="28">
      <c r="B28" s="21" t="n"/>
      <c r="C28" s="21" t="n"/>
      <c r="D28" s="21" t="n"/>
      <c r="E28" s="21" t="n"/>
    </row>
    <row r="29">
      <c r="B29" s="21" t="n"/>
      <c r="C29" s="21" t="n"/>
      <c r="D29" s="21" t="n"/>
      <c r="E29" s="21" t="n"/>
    </row>
    <row r="30">
      <c r="B30" s="21" t="n"/>
      <c r="C30" s="21" t="n"/>
      <c r="D30" s="21" t="n"/>
      <c r="E30" s="21" t="n"/>
    </row>
    <row r="31">
      <c r="B31" t="inlineStr">
        <is>
          <t>Charity Subtotal</t>
        </is>
      </c>
      <c r="D31" s="9">
        <f>SUM(D26:D30)</f>
        <v/>
      </c>
    </row>
    <row r="33">
      <c r="B33" s="22" t="inlineStr">
        <is>
          <t>TOTAL ITEMIZED DEDUCTIONS</t>
        </is>
      </c>
      <c r="D33" s="23">
        <f>D13+D19+D22+D31</f>
        <v/>
      </c>
    </row>
    <row r="50">
      <c r="E50">
        <f>D33</f>
        <v/>
      </c>
    </row>
  </sheetData>
  <mergeCells count="7">
    <mergeCell ref="B6:E6"/>
    <mergeCell ref="B4:D4"/>
    <mergeCell ref="B21:E21"/>
    <mergeCell ref="B15:E15"/>
    <mergeCell ref="B2:H2"/>
    <mergeCell ref="B24:E24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Estimated Tax Payments</t>
        </is>
      </c>
    </row>
    <row r="3">
      <c r="B3" s="6" t="inlineStr">
        <is>
          <t>Quarterly Payment Calculator</t>
        </is>
      </c>
    </row>
    <row r="4">
      <c r="B4" s="7" t="inlineStr">
        <is>
          <t>Powered by Charge Wealth</t>
        </is>
      </c>
    </row>
    <row r="6">
      <c r="B6" s="3" t="inlineStr">
        <is>
          <t>ESTIMATED TAX CALCULATION</t>
        </is>
      </c>
    </row>
    <row r="8">
      <c r="B8" t="inlineStr">
        <is>
          <t>Expected Total Tax</t>
        </is>
      </c>
      <c r="C8" s="9">
        <f>'Tax Estimator'!C43</f>
        <v/>
      </c>
    </row>
    <row r="9">
      <c r="B9" t="inlineStr">
        <is>
          <t>W-2 Withholding</t>
        </is>
      </c>
      <c r="C9" s="9" t="n">
        <v>12000</v>
      </c>
    </row>
    <row r="10">
      <c r="B10" t="inlineStr">
        <is>
          <t>Remaining Tax Due</t>
        </is>
      </c>
      <c r="C10" s="14">
        <f>MAX(0,C8-C9)</f>
        <v/>
      </c>
    </row>
    <row r="11">
      <c r="B11" t="inlineStr">
        <is>
          <t>Quarterly Payment Amount</t>
        </is>
      </c>
      <c r="C11" s="16">
        <f>C10/4</f>
        <v/>
      </c>
    </row>
    <row r="14">
      <c r="B14" s="3" t="inlineStr">
        <is>
          <t>PAYMENT SCHEDULE</t>
        </is>
      </c>
    </row>
    <row r="16">
      <c r="B16" s="20" t="inlineStr">
        <is>
          <t>Quarter</t>
        </is>
      </c>
      <c r="C16" s="20" t="inlineStr">
        <is>
          <t>Due Date</t>
        </is>
      </c>
      <c r="D16" s="20" t="inlineStr">
        <is>
          <t>Amount Due</t>
        </is>
      </c>
      <c r="E16" s="20" t="inlineStr">
        <is>
          <t>Paid</t>
        </is>
      </c>
      <c r="F16" s="20" t="inlineStr">
        <is>
          <t>Status</t>
        </is>
      </c>
    </row>
    <row r="17">
      <c r="B17" t="inlineStr">
        <is>
          <t>Q1</t>
        </is>
      </c>
      <c r="C17" t="inlineStr">
        <is>
          <t>April 15</t>
        </is>
      </c>
      <c r="D17" s="9">
        <f>$C$13</f>
        <v/>
      </c>
      <c r="E17" s="9" t="n">
        <v>0</v>
      </c>
      <c r="F17">
        <f>IF(E17&gt;=D17,"✓ Paid",IF(E17&gt;0,"Partial","Pending"))</f>
        <v/>
      </c>
    </row>
    <row r="18">
      <c r="B18" t="inlineStr">
        <is>
          <t>Q2</t>
        </is>
      </c>
      <c r="C18" t="inlineStr">
        <is>
          <t>June 15</t>
        </is>
      </c>
      <c r="D18" s="9">
        <f>$C$13</f>
        <v/>
      </c>
      <c r="E18" s="9" t="n">
        <v>0</v>
      </c>
      <c r="F18">
        <f>IF(E18&gt;=D18,"✓ Paid",IF(E18&gt;0,"Partial","Pending"))</f>
        <v/>
      </c>
    </row>
    <row r="19">
      <c r="B19" t="inlineStr">
        <is>
          <t>Q3</t>
        </is>
      </c>
      <c r="C19" t="inlineStr">
        <is>
          <t>September 15</t>
        </is>
      </c>
      <c r="D19" s="9">
        <f>$C$13</f>
        <v/>
      </c>
      <c r="E19" s="9" t="n">
        <v>0</v>
      </c>
      <c r="F19">
        <f>IF(E19&gt;=D19,"✓ Paid",IF(E19&gt;0,"Partial","Pending"))</f>
        <v/>
      </c>
    </row>
    <row r="20">
      <c r="B20" t="inlineStr">
        <is>
          <t>Q4</t>
        </is>
      </c>
      <c r="C20" t="inlineStr">
        <is>
          <t>January 15</t>
        </is>
      </c>
      <c r="D20" s="9">
        <f>$C$13</f>
        <v/>
      </c>
      <c r="E20" s="9" t="n">
        <v>0</v>
      </c>
      <c r="F20">
        <f>IF(E20&gt;=D20,"✓ Paid",IF(E20&gt;0,"Partial","Pending"))</f>
        <v/>
      </c>
    </row>
  </sheetData>
  <mergeCells count="5">
    <mergeCell ref="B6:E6"/>
    <mergeCell ref="B4:D4"/>
    <mergeCell ref="B2:H2"/>
    <mergeCell ref="B14:F14"/>
    <mergeCell ref="B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20" customWidth="1" min="4" max="4"/>
    <col width="30" customWidth="1" min="5" max="5"/>
  </cols>
  <sheetData>
    <row r="2">
      <c r="B2" s="1" t="inlineStr">
        <is>
          <t>Tax Optimization Strategies</t>
        </is>
      </c>
    </row>
    <row r="3">
      <c r="B3" s="6" t="inlineStr">
        <is>
          <t>Maximize Your Tax Savings</t>
        </is>
      </c>
    </row>
    <row r="4">
      <c r="B4" s="7" t="inlineStr">
        <is>
          <t>Powered by Charge Wealth</t>
        </is>
      </c>
    </row>
    <row r="6">
      <c r="B6" s="3" t="inlineStr">
        <is>
          <t>RETIREMENT CONTRIBUTION OPPORTUNITIES</t>
        </is>
      </c>
    </row>
    <row r="8">
      <c r="B8" s="20" t="inlineStr">
        <is>
          <t>Account Type</t>
        </is>
      </c>
      <c r="C8" s="20" t="inlineStr">
        <is>
          <t>2024 Limit</t>
        </is>
      </c>
      <c r="D8" s="20" t="inlineStr">
        <is>
          <t>Your Contribution</t>
        </is>
      </c>
      <c r="E8" s="20" t="inlineStr">
        <is>
          <t>Remaining Room</t>
        </is>
      </c>
    </row>
    <row r="9">
      <c r="B9" t="inlineStr">
        <is>
          <t>401(k)</t>
        </is>
      </c>
      <c r="C9" s="24" t="n">
        <v>23000</v>
      </c>
      <c r="D9" s="24" t="n">
        <v>15000</v>
      </c>
      <c r="E9" s="24">
        <f>C9-D9</f>
        <v/>
      </c>
    </row>
    <row r="10">
      <c r="B10" t="inlineStr">
        <is>
          <t>Traditional IRA</t>
        </is>
      </c>
      <c r="C10" s="24" t="n">
        <v>7000</v>
      </c>
      <c r="D10" s="24" t="n">
        <v>6500</v>
      </c>
      <c r="E10" s="24">
        <f>C10-D10</f>
        <v/>
      </c>
    </row>
    <row r="11">
      <c r="B11" t="inlineStr">
        <is>
          <t>HSA (Self-only)</t>
        </is>
      </c>
      <c r="C11" s="24" t="n">
        <v>4150</v>
      </c>
      <c r="D11" s="24" t="n">
        <v>3850</v>
      </c>
      <c r="E11" s="24">
        <f>C11-D11</f>
        <v/>
      </c>
    </row>
    <row r="12">
      <c r="B12" t="inlineStr">
        <is>
          <t>SEP-IRA (25% SE income)</t>
        </is>
      </c>
      <c r="C12" s="24">
        <f>0.25*'Tax Estimator'!C14</f>
        <v/>
      </c>
      <c r="D12" s="24" t="n">
        <v>5000</v>
      </c>
      <c r="E12" s="24">
        <f>C12-D12</f>
        <v/>
      </c>
    </row>
    <row r="15">
      <c r="B15" s="3" t="inlineStr">
        <is>
          <t>TAX-SAVING STRATEGIES</t>
        </is>
      </c>
    </row>
    <row r="17">
      <c r="B17" s="25" t="inlineStr">
        <is>
          <t>• Max out 401(k) contributions before year-end</t>
        </is>
      </c>
    </row>
    <row r="18">
      <c r="B18" s="25" t="inlineStr">
        <is>
          <t>• Consider Roth conversions in low-income years</t>
        </is>
      </c>
    </row>
    <row r="19">
      <c r="B19" s="25" t="inlineStr">
        <is>
          <t>• Bunch charitable donations for itemizing</t>
        </is>
      </c>
    </row>
    <row r="20">
      <c r="B20" s="25" t="inlineStr">
        <is>
          <t>• Harvest tax losses to offset capital gains</t>
        </is>
      </c>
    </row>
    <row r="21">
      <c r="B21" s="25" t="inlineStr">
        <is>
          <t>• Time self-employment income across tax years</t>
        </is>
      </c>
    </row>
    <row r="22">
      <c r="B22" s="25" t="inlineStr">
        <is>
          <t>• Use HSA as stealth retirement account</t>
        </is>
      </c>
    </row>
    <row r="23">
      <c r="B23" s="25" t="inlineStr">
        <is>
          <t>• Consider Qualified Business Income (QBI) deduction</t>
        </is>
      </c>
    </row>
    <row r="24">
      <c r="B24" s="25" t="inlineStr">
        <is>
          <t>• Review state tax planning (SALT workarounds)</t>
        </is>
      </c>
    </row>
  </sheetData>
  <mergeCells count="5">
    <mergeCell ref="B6:E6"/>
    <mergeCell ref="B4:D4"/>
    <mergeCell ref="B15:E15"/>
    <mergeCell ref="B2:H2"/>
    <mergeCell ref="B3:H3"/>
  </mergeCells>
  <conditionalFormatting sqref="E9:E12">
    <cfRule type="expression" priority="1" dxfId="0">
      <formula>E9&gt;0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2026-01-30T13:36:33+00:00Z</dcterms:created>
  <dcterms:modified xmlns:dcterms="http://purl.org/dc/terms/" xmlns:xsi="http://www.w3.org/2001/XMLSchema-instance" xsi:type="dcterms:W3CDTF">2026-01-30T13:36:33+00:00Z</dcterms:modified>
</cp:coreProperties>
</file>