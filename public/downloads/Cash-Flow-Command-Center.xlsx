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Fixed Expenses" sheetId="4" state="visible" r:id="rId4"/>
    <sheet xmlns:r="http://schemas.openxmlformats.org/officeDocument/2006/relationships" name="Variable Expens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months&quot;"/>
    <numFmt numFmtId="167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F5A623"/>
      <sz val="24"/>
    </font>
    <font>
      <name val="Calibri"/>
      <color rgb="002D3436"/>
      <sz val="12"/>
    </font>
    <font>
      <name val="Calibri"/>
      <b val="1"/>
      <color rgb="00F5A623"/>
      <sz val="14"/>
    </font>
    <font>
      <name val="Calibri"/>
      <color rgb="002D3436"/>
      <sz val="11"/>
    </font>
    <font>
      <name val="Calibri"/>
      <i val="1"/>
      <color rgb="00F5A623"/>
      <sz val="10"/>
    </font>
    <font>
      <name val="Calibri"/>
      <color rgb="00636E72"/>
      <sz val="14"/>
    </font>
    <font>
      <name val="Calibri"/>
      <i val="1"/>
      <color rgb="00636E72"/>
      <sz val="10"/>
    </font>
    <font>
      <name val="Calibri"/>
      <b val="1"/>
      <color rgb="002D3436"/>
      <sz val="14"/>
    </font>
    <font>
      <name val="Calibri"/>
      <b val="1"/>
      <color rgb="00FFFFFF"/>
      <sz val="12"/>
    </font>
    <font>
      <b val="1"/>
      <color rgb="00F5A62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3D4"/>
        <bgColor rgb="00FFF3D4"/>
      </patternFill>
    </fill>
    <fill>
      <patternFill patternType="solid">
        <fgColor rgb="00F5A623"/>
        <bgColor rgb="00F5A623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10" fillId="0" borderId="0" pivotButton="0" quotePrefix="0" xfId="0"/>
    <xf numFmtId="164" fontId="11" fillId="0" borderId="0" pivotButton="0" quotePrefix="0" xfId="0"/>
    <xf numFmtId="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>
          <bgColor rgb="0027AE60"/>
        </patternFill>
      </fill>
    </dxf>
    <dxf>
      <fill>
        <patternFill>
          <bgColor rgb="00E74C3C"/>
        </patternFill>
      </fill>
    </dxf>
    <dxf>
      <fill>
        <patternFill>
          <bgColor rgb="00C6EFCE"/>
        </patternFill>
      </fill>
    </dxf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Cash Flow Projection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'Dashboard'!$C$21:$C$22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'Dashboard'!$D$21:$D$22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'Dashboard'!$E$21:$E$22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'Dashboard'!$F$21:$F$22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'Dashboard'!$G$21:$G$22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'Dashboard'!$H$21:$H$22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'Dashboard'!$I$21:$I$22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'Dashboard'!$J$21:$J$22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'Dashboard'!$K$21:$K$22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'Dashboard'!$L$21:$L$22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'Dashboard'!$M$21:$M$22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'Dashboard'!$C$18:$N$18</f>
            </numRef>
          </cat>
          <val>
            <numRef>
              <f>'Dashboard'!$N$21:$N$22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📊 Cash Flow Command Center</t>
        </is>
      </c>
    </row>
    <row r="4">
      <c r="B4" s="2" t="inlineStr">
        <is>
          <t>Welcome to your premium financial planning tool from Charge Wealth!</t>
        </is>
      </c>
    </row>
    <row r="6" ht="25" customHeight="1">
      <c r="B6" s="3" t="inlineStr">
        <is>
          <t>🎯 Overview</t>
        </is>
      </c>
    </row>
    <row r="7" ht="35" customHeight="1">
      <c r="B7" s="4" t="inlineStr">
        <is>
          <t xml:space="preserve">  • This Cash Flow Command Center helps you track every dollar coming in and going out.</t>
        </is>
      </c>
    </row>
    <row r="8" ht="35" customHeight="1">
      <c r="B8" s="4" t="inlineStr">
        <is>
          <t xml:space="preserve">  • Use the Dashboard for a quick financial snapshot, and detailed sheets for tracking.</t>
        </is>
      </c>
    </row>
    <row r="9" ht="20" customHeight="1">
      <c r="B9" s="4" t="inlineStr">
        <is>
          <t xml:space="preserve">  • All calculations update automatically as you enter data.</t>
        </is>
      </c>
    </row>
    <row r="11" ht="25" customHeight="1">
      <c r="B11" s="3" t="inlineStr">
        <is>
          <t>📝 Getting Started</t>
        </is>
      </c>
    </row>
    <row r="12" ht="20" customHeight="1">
      <c r="B12" s="4" t="inlineStr">
        <is>
          <t xml:space="preserve">  • Start with the 'Income' sheet - enter all your income sources</t>
        </is>
      </c>
    </row>
    <row r="13" ht="20" customHeight="1">
      <c r="B13" s="4" t="inlineStr">
        <is>
          <t xml:space="preserve">  • Move to 'Fixed Expenses' for recurring monthly bills</t>
        </is>
      </c>
    </row>
    <row r="14" ht="20" customHeight="1">
      <c r="B14" s="4" t="inlineStr">
        <is>
          <t xml:space="preserve">  • Use 'Variable Expenses' for discretionary spending</t>
        </is>
      </c>
    </row>
    <row r="15" ht="20" customHeight="1">
      <c r="B15" s="4" t="inlineStr">
        <is>
          <t xml:space="preserve">  • The Dashboard will automatically calculate your cash flow position</t>
        </is>
      </c>
    </row>
    <row r="17" ht="25" customHeight="1">
      <c r="B17" s="3" t="inlineStr">
        <is>
          <t>💡 Pro Tips</t>
        </is>
      </c>
    </row>
    <row r="18" ht="20" customHeight="1">
      <c r="B18" s="4" t="inlineStr">
        <is>
          <t xml:space="preserve">  • Update weekly for best results - 15 minutes every Sunday</t>
        </is>
      </c>
    </row>
    <row r="19" ht="20" customHeight="1">
      <c r="B19" s="4" t="inlineStr">
        <is>
          <t xml:space="preserve">  • Use the 12-month projection to plan for large purchases</t>
        </is>
      </c>
    </row>
    <row r="20" ht="20" customHeight="1">
      <c r="B20" s="4" t="inlineStr">
        <is>
          <t xml:space="preserve">  • Set up alerts when cash flow drops below your emergency threshold</t>
        </is>
      </c>
    </row>
    <row r="21" ht="20" customHeight="1">
      <c r="B21" s="4" t="inlineStr">
        <is>
          <t xml:space="preserve">  • Review the trends chart monthly to spot spending creep</t>
        </is>
      </c>
    </row>
    <row r="23" ht="25" customHeight="1">
      <c r="B23" s="3" t="inlineStr">
        <is>
          <t>📊 Understanding the Dashboard</t>
        </is>
      </c>
    </row>
    <row r="24" ht="20" customHeight="1">
      <c r="B24" s="4" t="inlineStr">
        <is>
          <t xml:space="preserve">  • GREEN numbers = positive cash flow (you're saving money)</t>
        </is>
      </c>
    </row>
    <row r="25" ht="20" customHeight="1">
      <c r="B25" s="4" t="inlineStr">
        <is>
          <t xml:space="preserve">  • RED numbers = negative cash flow (spending more than earning)</t>
        </is>
      </c>
    </row>
    <row r="26" ht="20" customHeight="1">
      <c r="B26" s="4" t="inlineStr">
        <is>
          <t xml:space="preserve">  • The 'Runway' shows how many months of expenses you could cover</t>
        </is>
      </c>
    </row>
    <row r="29">
      <c r="B29" s="5" t="inlineStr">
        <is>
          <t>Questions? Visit chargewealth.co for support and more premium tools.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2">
      <c r="B2" s="1" t="inlineStr">
        <is>
          <t>Cash Flow Command Center</t>
        </is>
      </c>
    </row>
    <row r="3">
      <c r="B3" s="6" t="inlineStr">
        <is>
          <t>Your Complete Financial Picture</t>
        </is>
      </c>
    </row>
    <row r="4">
      <c r="B4" s="7" t="inlineStr">
        <is>
          <t>Powered by Charge Wealth</t>
        </is>
      </c>
    </row>
    <row r="6">
      <c r="B6" s="3" t="inlineStr">
        <is>
          <t>KEY METRICS</t>
        </is>
      </c>
    </row>
    <row r="8">
      <c r="B8" s="8" t="inlineStr">
        <is>
          <t>Monthly Income</t>
        </is>
      </c>
      <c r="C8" s="9">
        <f>Income!H15</f>
        <v/>
      </c>
    </row>
    <row r="9">
      <c r="B9" s="8" t="inlineStr">
        <is>
          <t>Monthly Expenses</t>
        </is>
      </c>
      <c r="C9" s="9">
        <f>'Fixed Expenses'!E20+'Variable Expenses'!E25</f>
        <v/>
      </c>
    </row>
    <row r="10">
      <c r="B10" s="8" t="inlineStr">
        <is>
          <t>Net Cash Flow</t>
        </is>
      </c>
      <c r="C10" s="9">
        <f>B9-B10</f>
        <v/>
      </c>
    </row>
    <row r="11">
      <c r="B11" s="8" t="inlineStr">
        <is>
          <t>Savings Rate</t>
        </is>
      </c>
      <c r="C11" s="10">
        <f>IF(B9&gt;0,B11/B9,0)</f>
        <v/>
      </c>
    </row>
    <row r="12">
      <c r="B12" s="8" t="inlineStr">
        <is>
          <t>Emergency Runway</t>
        </is>
      </c>
      <c r="C12" s="11">
        <f>IF(B10&gt;0,Settings!B5/B10,0)</f>
        <v/>
      </c>
    </row>
    <row r="16">
      <c r="B16" s="3" t="inlineStr">
        <is>
          <t>12-MONTH CASH FLOW PROJECTION</t>
        </is>
      </c>
    </row>
    <row r="18">
      <c r="B18" s="12" t="inlineStr">
        <is>
          <t>Category</t>
        </is>
      </c>
      <c r="C18" s="12" t="inlineStr">
        <is>
          <t>Jan</t>
        </is>
      </c>
      <c r="D18" s="12" t="inlineStr">
        <is>
          <t>Feb</t>
        </is>
      </c>
      <c r="E18" s="12" t="inlineStr">
        <is>
          <t>Mar</t>
        </is>
      </c>
      <c r="F18" s="12" t="inlineStr">
        <is>
          <t>Apr</t>
        </is>
      </c>
      <c r="G18" s="12" t="inlineStr">
        <is>
          <t>May</t>
        </is>
      </c>
      <c r="H18" s="12" t="inlineStr">
        <is>
          <t>Jun</t>
        </is>
      </c>
      <c r="I18" s="12" t="inlineStr">
        <is>
          <t>Jul</t>
        </is>
      </c>
      <c r="J18" s="12" t="inlineStr">
        <is>
          <t>Aug</t>
        </is>
      </c>
      <c r="K18" s="12" t="inlineStr">
        <is>
          <t>Sep</t>
        </is>
      </c>
      <c r="L18" s="12" t="inlineStr">
        <is>
          <t>Oct</t>
        </is>
      </c>
      <c r="M18" s="12" t="inlineStr">
        <is>
          <t>Nov</t>
        </is>
      </c>
      <c r="N18" s="12" t="inlineStr">
        <is>
          <t>Dec</t>
        </is>
      </c>
    </row>
    <row r="19">
      <c r="B19" s="8" t="inlineStr">
        <is>
          <t>Projected Income</t>
        </is>
      </c>
      <c r="C19" s="13">
        <f>$C$9*(1+Settings!$B$7)^0</f>
        <v/>
      </c>
      <c r="D19" s="13">
        <f>$C$9*(1+Settings!$B$7)^1</f>
        <v/>
      </c>
      <c r="E19" s="13">
        <f>$C$9*(1+Settings!$B$7)^2</f>
        <v/>
      </c>
      <c r="F19" s="13">
        <f>$C$9*(1+Settings!$B$7)^3</f>
        <v/>
      </c>
      <c r="G19" s="13">
        <f>$C$9*(1+Settings!$B$7)^4</f>
        <v/>
      </c>
      <c r="H19" s="13">
        <f>$C$9*(1+Settings!$B$7)^5</f>
        <v/>
      </c>
      <c r="I19" s="13">
        <f>$C$9*(1+Settings!$B$7)^6</f>
        <v/>
      </c>
      <c r="J19" s="13">
        <f>$C$9*(1+Settings!$B$7)^7</f>
        <v/>
      </c>
      <c r="K19" s="13">
        <f>$C$9*(1+Settings!$B$7)^8</f>
        <v/>
      </c>
      <c r="L19" s="13">
        <f>$C$9*(1+Settings!$B$7)^9</f>
        <v/>
      </c>
      <c r="M19" s="13">
        <f>$C$9*(1+Settings!$B$7)^10</f>
        <v/>
      </c>
      <c r="N19" s="13">
        <f>$C$9*(1+Settings!$B$7)^11</f>
        <v/>
      </c>
    </row>
    <row r="20">
      <c r="B20" s="8" t="inlineStr">
        <is>
          <t>Projected Expenses</t>
        </is>
      </c>
      <c r="C20" s="13">
        <f>$C$10*(1+Settings!$B$8)^0</f>
        <v/>
      </c>
      <c r="D20" s="13">
        <f>$C$10*(1+Settings!$B$8)^1</f>
        <v/>
      </c>
      <c r="E20" s="13">
        <f>$C$10*(1+Settings!$B$8)^2</f>
        <v/>
      </c>
      <c r="F20" s="13">
        <f>$C$10*(1+Settings!$B$8)^3</f>
        <v/>
      </c>
      <c r="G20" s="13">
        <f>$C$10*(1+Settings!$B$8)^4</f>
        <v/>
      </c>
      <c r="H20" s="13">
        <f>$C$10*(1+Settings!$B$8)^5</f>
        <v/>
      </c>
      <c r="I20" s="13">
        <f>$C$10*(1+Settings!$B$8)^6</f>
        <v/>
      </c>
      <c r="J20" s="13">
        <f>$C$10*(1+Settings!$B$8)^7</f>
        <v/>
      </c>
      <c r="K20" s="13">
        <f>$C$10*(1+Settings!$B$8)^8</f>
        <v/>
      </c>
      <c r="L20" s="13">
        <f>$C$10*(1+Settings!$B$8)^9</f>
        <v/>
      </c>
      <c r="M20" s="13">
        <f>$C$10*(1+Settings!$B$8)^10</f>
        <v/>
      </c>
      <c r="N20" s="13">
        <f>$C$10*(1+Settings!$B$8)^11</f>
        <v/>
      </c>
    </row>
    <row r="21">
      <c r="B21" s="8" t="inlineStr">
        <is>
          <t>Net Cash Flow</t>
        </is>
      </c>
      <c r="C21" s="13">
        <f>C19-C20</f>
        <v/>
      </c>
      <c r="D21" s="13">
        <f>D19-D20</f>
        <v/>
      </c>
      <c r="E21" s="13">
        <f>E19-E20</f>
        <v/>
      </c>
      <c r="F21" s="13">
        <f>F19-F20</f>
        <v/>
      </c>
      <c r="G21" s="13">
        <f>G19-G20</f>
        <v/>
      </c>
      <c r="H21" s="13">
        <f>H19-H20</f>
        <v/>
      </c>
      <c r="I21" s="13">
        <f>I19-I20</f>
        <v/>
      </c>
      <c r="J21" s="13">
        <f>J19-J20</f>
        <v/>
      </c>
      <c r="K21" s="13">
        <f>K19-K20</f>
        <v/>
      </c>
      <c r="L21" s="13">
        <f>L19-L20</f>
        <v/>
      </c>
      <c r="M21" s="13">
        <f>M19-M20</f>
        <v/>
      </c>
      <c r="N21" s="13">
        <f>N19-N20</f>
        <v/>
      </c>
    </row>
    <row r="22">
      <c r="B22" s="8" t="inlineStr">
        <is>
          <t>Cumulative Balance</t>
        </is>
      </c>
      <c r="C22" s="13">
        <f>Settings!$B$5+C21</f>
        <v/>
      </c>
      <c r="D22" s="13">
        <f>C22+D21</f>
        <v/>
      </c>
      <c r="E22" s="13">
        <f>D22+E21</f>
        <v/>
      </c>
      <c r="F22" s="13">
        <f>E22+F21</f>
        <v/>
      </c>
      <c r="G22" s="13">
        <f>F22+G21</f>
        <v/>
      </c>
      <c r="H22" s="13">
        <f>G22+H21</f>
        <v/>
      </c>
      <c r="I22" s="13">
        <f>H22+I21</f>
        <v/>
      </c>
      <c r="J22" s="13">
        <f>I22+J21</f>
        <v/>
      </c>
      <c r="K22" s="13">
        <f>J22+K21</f>
        <v/>
      </c>
      <c r="L22" s="13">
        <f>K22+L21</f>
        <v/>
      </c>
      <c r="M22" s="13">
        <f>L22+M21</f>
        <v/>
      </c>
      <c r="N22" s="13">
        <f>M22+N21</f>
        <v/>
      </c>
    </row>
  </sheetData>
  <mergeCells count="5">
    <mergeCell ref="B6:E6"/>
    <mergeCell ref="B4:D4"/>
    <mergeCell ref="B2:H2"/>
    <mergeCell ref="B3:H3"/>
    <mergeCell ref="B16:N16"/>
  </mergeCells>
  <conditionalFormatting sqref="C11">
    <cfRule type="expression" priority="1" dxfId="0">
      <formula>C11&gt;=0</formula>
    </cfRule>
    <cfRule type="expression" priority="2" dxfId="1">
      <formula>C11&lt;0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Income Tracking</t>
        </is>
      </c>
    </row>
    <row r="3">
      <c r="B3" s="6" t="inlineStr">
        <is>
          <t>All Revenue Sources</t>
        </is>
      </c>
    </row>
    <row r="4">
      <c r="B4" s="7" t="inlineStr">
        <is>
          <t>Powered by Charge Wealth</t>
        </is>
      </c>
    </row>
    <row r="6">
      <c r="B6" s="12" t="inlineStr">
        <is>
          <t>Source</t>
        </is>
      </c>
      <c r="C6" s="12" t="inlineStr">
        <is>
          <t>Type</t>
        </is>
      </c>
      <c r="D6" s="12" t="inlineStr">
        <is>
          <t>Frequency</t>
        </is>
      </c>
      <c r="E6" s="12" t="inlineStr">
        <is>
          <t>Amount</t>
        </is>
      </c>
      <c r="F6" s="12" t="inlineStr">
        <is>
          <t>Annual Total</t>
        </is>
      </c>
      <c r="G6" s="12" t="inlineStr">
        <is>
          <t>Monthly Equiv.</t>
        </is>
      </c>
      <c r="H6" s="12" t="inlineStr">
        <is>
          <t>Notes</t>
        </is>
      </c>
    </row>
    <row r="7">
      <c r="B7" s="8" t="inlineStr">
        <is>
          <t>Primary Salary</t>
        </is>
      </c>
      <c r="C7" t="inlineStr">
        <is>
          <t>W-2</t>
        </is>
      </c>
      <c r="D7" t="inlineStr">
        <is>
          <t>Bi-weekly</t>
        </is>
      </c>
      <c r="E7" s="14" t="n">
        <v>3500</v>
      </c>
      <c r="F7" s="14">
        <f>IF(D7="Weekly",E7*52,IF(D7="Bi-weekly",E7*26,IF(D7="Monthly",E7*12,IF(D7="Quarterly",E7*4,E7))))</f>
        <v/>
      </c>
      <c r="G7" s="14">
        <f>F7/12</f>
        <v/>
      </c>
    </row>
    <row r="8">
      <c r="B8" s="8" t="inlineStr">
        <is>
          <t>Side Business</t>
        </is>
      </c>
      <c r="C8" t="inlineStr">
        <is>
          <t>1099</t>
        </is>
      </c>
      <c r="D8" t="inlineStr">
        <is>
          <t>Monthly</t>
        </is>
      </c>
      <c r="E8" s="14" t="n">
        <v>1200</v>
      </c>
      <c r="F8" s="14">
        <f>IF(D8="Weekly",E8*52,IF(D8="Bi-weekly",E8*26,IF(D8="Monthly",E8*12,IF(D8="Quarterly",E8*4,E8))))</f>
        <v/>
      </c>
      <c r="G8" s="14">
        <f>F8/12</f>
        <v/>
      </c>
    </row>
    <row r="9">
      <c r="B9" s="8" t="inlineStr">
        <is>
          <t>Dividends</t>
        </is>
      </c>
      <c r="C9" t="inlineStr">
        <is>
          <t>Investment</t>
        </is>
      </c>
      <c r="D9" t="inlineStr">
        <is>
          <t>Quarterly</t>
        </is>
      </c>
      <c r="E9" s="14" t="n">
        <v>500</v>
      </c>
      <c r="F9" s="14">
        <f>IF(D9="Weekly",E9*52,IF(D9="Bi-weekly",E9*26,IF(D9="Monthly",E9*12,IF(D9="Quarterly",E9*4,E9))))</f>
        <v/>
      </c>
      <c r="G9" s="14">
        <f>F9/12</f>
        <v/>
      </c>
    </row>
    <row r="10">
      <c r="B10" s="8" t="inlineStr">
        <is>
          <t>Rental Income</t>
        </is>
      </c>
      <c r="C10" t="inlineStr">
        <is>
          <t>Passive</t>
        </is>
      </c>
      <c r="D10" t="inlineStr">
        <is>
          <t>Monthly</t>
        </is>
      </c>
      <c r="E10" s="14" t="n">
        <v>1800</v>
      </c>
      <c r="F10" s="14">
        <f>IF(D10="Weekly",E10*52,IF(D10="Bi-weekly",E10*26,IF(D10="Monthly",E10*12,IF(D10="Quarterly",E10*4,E10))))</f>
        <v/>
      </c>
      <c r="G10" s="14">
        <f>F10/12</f>
        <v/>
      </c>
    </row>
    <row r="11">
      <c r="B11" s="8" t="inlineStr">
        <is>
          <t>Freelance</t>
        </is>
      </c>
      <c r="C11" t="inlineStr">
        <is>
          <t>1099</t>
        </is>
      </c>
      <c r="D11" t="inlineStr">
        <is>
          <t>Variable</t>
        </is>
      </c>
      <c r="E11" s="14" t="n">
        <v>800</v>
      </c>
      <c r="F11" s="14">
        <f>IF(D11="Weekly",E11*52,IF(D11="Bi-weekly",E11*26,IF(D11="Monthly",E11*12,IF(D11="Quarterly",E11*4,E11))))</f>
        <v/>
      </c>
      <c r="G11" s="14">
        <f>F11/12</f>
        <v/>
      </c>
    </row>
    <row r="12">
      <c r="B12" s="15" t="n"/>
      <c r="C12" s="15" t="n"/>
      <c r="D12" s="15" t="n"/>
      <c r="E12" s="15" t="n"/>
      <c r="F12" s="15">
        <f>IF(D12="Weekly",E12*52,IF(D12="Bi-weekly",E12*26,IF(D12="Monthly",E12*12,IF(D12="Quarterly",E12*4,E12))))</f>
        <v/>
      </c>
      <c r="G12" s="15">
        <f>F12/12</f>
        <v/>
      </c>
      <c r="H12" s="15" t="n"/>
    </row>
    <row r="13">
      <c r="B13" s="15" t="n"/>
      <c r="C13" s="15" t="n"/>
      <c r="D13" s="15" t="n"/>
      <c r="E13" s="15" t="n"/>
      <c r="F13" s="15">
        <f>IF(D13="Weekly",E13*52,IF(D13="Bi-weekly",E13*26,IF(D13="Monthly",E13*12,IF(D13="Quarterly",E13*4,E13))))</f>
        <v/>
      </c>
      <c r="G13" s="15">
        <f>F13/12</f>
        <v/>
      </c>
      <c r="H13" s="15" t="n"/>
    </row>
    <row r="14">
      <c r="B14" s="15" t="n"/>
      <c r="C14" s="15" t="n"/>
      <c r="D14" s="15" t="n"/>
      <c r="E14" s="15" t="n"/>
      <c r="F14" s="15">
        <f>IF(D14="Weekly",E14*52,IF(D14="Bi-weekly",E14*26,IF(D14="Monthly",E14*12,IF(D14="Quarterly",E14*4,E14))))</f>
        <v/>
      </c>
      <c r="G14" s="15">
        <f>F14/12</f>
        <v/>
      </c>
      <c r="H14" s="15" t="n"/>
    </row>
    <row r="15">
      <c r="B15" s="15" t="n"/>
      <c r="C15" s="15" t="n"/>
      <c r="D15" s="15" t="n"/>
      <c r="E15" s="15" t="n"/>
      <c r="F15" s="15">
        <f>IF(D15="Weekly",E15*52,IF(D15="Bi-weekly",E15*26,IF(D15="Monthly",E15*12,IF(D15="Quarterly",E15*4,E15))))</f>
        <v/>
      </c>
      <c r="G15" s="15">
        <f>F15/12</f>
        <v/>
      </c>
      <c r="H15" s="15">
        <f>G18</f>
        <v/>
      </c>
    </row>
    <row r="16">
      <c r="B16" s="15" t="n"/>
      <c r="C16" s="15" t="n"/>
      <c r="D16" s="15" t="n"/>
      <c r="E16" s="15" t="n"/>
      <c r="F16" s="15">
        <f>IF(D16="Weekly",E16*52,IF(D16="Bi-weekly",E16*26,IF(D16="Monthly",E16*12,IF(D16="Quarterly",E16*4,E16))))</f>
        <v/>
      </c>
      <c r="G16" s="15">
        <f>F16/12</f>
        <v/>
      </c>
      <c r="H16" s="15" t="n"/>
    </row>
    <row r="18">
      <c r="B18" s="16" t="inlineStr">
        <is>
          <t>TOTAL</t>
        </is>
      </c>
      <c r="F18" s="17">
        <f>SUM(F7:F16)</f>
        <v/>
      </c>
      <c r="G18" s="17">
        <f>SUM(G7:G16)</f>
        <v/>
      </c>
    </row>
  </sheetData>
  <mergeCells count="3">
    <mergeCell ref="B3:H3"/>
    <mergeCell ref="B2:H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" t="inlineStr">
        <is>
          <t>Fixed Expenses</t>
        </is>
      </c>
    </row>
    <row r="3">
      <c r="B3" s="6" t="inlineStr">
        <is>
          <t>Recurring Monthly Bills</t>
        </is>
      </c>
    </row>
    <row r="4">
      <c r="B4" s="7" t="inlineStr">
        <is>
          <t>Powered by Charge Wealth</t>
        </is>
      </c>
    </row>
    <row r="6">
      <c r="B6" s="12" t="inlineStr">
        <is>
          <t>Expense</t>
        </is>
      </c>
      <c r="C6" s="12" t="inlineStr">
        <is>
          <t>Category</t>
        </is>
      </c>
      <c r="D6" s="12" t="inlineStr">
        <is>
          <t>Due Date</t>
        </is>
      </c>
      <c r="E6" s="12" t="inlineStr">
        <is>
          <t>Amount</t>
        </is>
      </c>
      <c r="F6" s="12" t="inlineStr">
        <is>
          <t>Annual Total</t>
        </is>
      </c>
    </row>
    <row r="7">
      <c r="B7" s="8" t="inlineStr">
        <is>
          <t>Rent/Mortgage</t>
        </is>
      </c>
      <c r="C7" t="inlineStr">
        <is>
          <t>Housing</t>
        </is>
      </c>
      <c r="D7" t="n">
        <v>1</v>
      </c>
      <c r="E7" s="14" t="n">
        <v>2200</v>
      </c>
      <c r="F7" s="14">
        <f>E7*12</f>
        <v/>
      </c>
    </row>
    <row r="8">
      <c r="B8" s="8" t="inlineStr">
        <is>
          <t>Car Payment</t>
        </is>
      </c>
      <c r="C8" t="inlineStr">
        <is>
          <t>Transportation</t>
        </is>
      </c>
      <c r="D8" t="n">
        <v>15</v>
      </c>
      <c r="E8" s="14" t="n">
        <v>450</v>
      </c>
      <c r="F8" s="14">
        <f>E8*12</f>
        <v/>
      </c>
    </row>
    <row r="9">
      <c r="B9" s="8" t="inlineStr">
        <is>
          <t>Car Insurance</t>
        </is>
      </c>
      <c r="C9" t="inlineStr">
        <is>
          <t>Insurance</t>
        </is>
      </c>
      <c r="D9" t="n">
        <v>5</v>
      </c>
      <c r="E9" s="14" t="n">
        <v>125</v>
      </c>
      <c r="F9" s="14">
        <f>E9*12</f>
        <v/>
      </c>
    </row>
    <row r="10">
      <c r="B10" s="8" t="inlineStr">
        <is>
          <t>Health Insurance</t>
        </is>
      </c>
      <c r="C10" t="inlineStr">
        <is>
          <t>Insurance</t>
        </is>
      </c>
      <c r="D10" t="n">
        <v>1</v>
      </c>
      <c r="E10" s="14" t="n">
        <v>350</v>
      </c>
      <c r="F10" s="14">
        <f>E10*12</f>
        <v/>
      </c>
    </row>
    <row r="11">
      <c r="B11" s="8" t="inlineStr">
        <is>
          <t>Phone</t>
        </is>
      </c>
      <c r="C11" t="inlineStr">
        <is>
          <t>Utilities</t>
        </is>
      </c>
      <c r="D11" t="n">
        <v>20</v>
      </c>
      <c r="E11" s="14" t="n">
        <v>85</v>
      </c>
      <c r="F11" s="14">
        <f>E11*12</f>
        <v/>
      </c>
    </row>
    <row r="12">
      <c r="B12" s="8" t="inlineStr">
        <is>
          <t>Internet</t>
        </is>
      </c>
      <c r="C12" t="inlineStr">
        <is>
          <t>Utilities</t>
        </is>
      </c>
      <c r="D12" t="n">
        <v>12</v>
      </c>
      <c r="E12" s="14" t="n">
        <v>75</v>
      </c>
      <c r="F12" s="14">
        <f>E12*12</f>
        <v/>
      </c>
    </row>
    <row r="13">
      <c r="B13" s="8" t="inlineStr">
        <is>
          <t>Streaming Services</t>
        </is>
      </c>
      <c r="C13" t="inlineStr">
        <is>
          <t>Entertainment</t>
        </is>
      </c>
      <c r="D13" t="n">
        <v>1</v>
      </c>
      <c r="E13" s="14" t="n">
        <v>45</v>
      </c>
      <c r="F13" s="14">
        <f>E13*12</f>
        <v/>
      </c>
    </row>
    <row r="14">
      <c r="B14" s="8" t="inlineStr">
        <is>
          <t>Gym Membership</t>
        </is>
      </c>
      <c r="C14" t="inlineStr">
        <is>
          <t>Health</t>
        </is>
      </c>
      <c r="D14" t="n">
        <v>1</v>
      </c>
      <c r="E14" s="14" t="n">
        <v>50</v>
      </c>
      <c r="F14" s="14">
        <f>E14*12</f>
        <v/>
      </c>
    </row>
    <row r="15">
      <c r="B15" s="15" t="n"/>
      <c r="C15" s="15" t="n"/>
      <c r="D15" s="15" t="n"/>
      <c r="E15" s="15" t="n"/>
      <c r="F15" s="15">
        <f>E15*12</f>
        <v/>
      </c>
    </row>
    <row r="16">
      <c r="B16" s="15" t="n"/>
      <c r="C16" s="15" t="n"/>
      <c r="D16" s="15" t="n"/>
      <c r="E16" s="15" t="n"/>
      <c r="F16" s="15">
        <f>E16*12</f>
        <v/>
      </c>
    </row>
    <row r="17">
      <c r="B17" s="15" t="n"/>
      <c r="C17" s="15" t="n"/>
      <c r="D17" s="15" t="n"/>
      <c r="E17" s="15" t="n"/>
      <c r="F17" s="15">
        <f>E17*12</f>
        <v/>
      </c>
    </row>
    <row r="18">
      <c r="B18" s="15" t="n"/>
      <c r="C18" s="15" t="n"/>
      <c r="D18" s="15" t="n"/>
      <c r="E18" s="15" t="n"/>
      <c r="F18" s="15">
        <f>E18*12</f>
        <v/>
      </c>
    </row>
    <row r="19">
      <c r="B19" s="15" t="n"/>
      <c r="C19" s="15" t="n"/>
      <c r="D19" s="15" t="n"/>
      <c r="E19" s="15" t="n"/>
      <c r="F19" s="15">
        <f>E19*12</f>
        <v/>
      </c>
    </row>
    <row r="20">
      <c r="E20">
        <f>E21</f>
        <v/>
      </c>
    </row>
    <row r="21">
      <c r="B21" s="16" t="inlineStr">
        <is>
          <t>TOTAL</t>
        </is>
      </c>
      <c r="E21" s="17">
        <f>SUM(E7:E19)</f>
        <v/>
      </c>
    </row>
  </sheetData>
  <mergeCells count="3">
    <mergeCell ref="B3:H3"/>
    <mergeCell ref="B2:H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1" t="inlineStr">
        <is>
          <t>Variable Expenses</t>
        </is>
      </c>
    </row>
    <row r="3">
      <c r="B3" s="6" t="inlineStr">
        <is>
          <t>Discretionary Spending</t>
        </is>
      </c>
    </row>
    <row r="4">
      <c r="B4" s="7" t="inlineStr">
        <is>
          <t>Powered by Charge Wealth</t>
        </is>
      </c>
    </row>
    <row r="6">
      <c r="B6" s="12" t="inlineStr">
        <is>
          <t>Category</t>
        </is>
      </c>
      <c r="C6" s="12" t="inlineStr">
        <is>
          <t>Budget</t>
        </is>
      </c>
      <c r="D6" s="12" t="inlineStr">
        <is>
          <t>Actual</t>
        </is>
      </c>
      <c r="E6" s="12" t="inlineStr">
        <is>
          <t>Variance</t>
        </is>
      </c>
      <c r="F6" s="12" t="inlineStr">
        <is>
          <t>% of Budget</t>
        </is>
      </c>
    </row>
    <row r="7">
      <c r="B7" s="8" t="inlineStr">
        <is>
          <t>Groceries</t>
        </is>
      </c>
      <c r="C7" s="14" t="n">
        <v>600</v>
      </c>
      <c r="D7" s="14" t="n">
        <v>580</v>
      </c>
      <c r="E7" s="14">
        <f>C7-D7</f>
        <v/>
      </c>
      <c r="F7" s="18">
        <f>IF(C7&gt;0,D7/C7,0)</f>
        <v/>
      </c>
    </row>
    <row r="8">
      <c r="B8" s="8" t="inlineStr">
        <is>
          <t>Dining Out</t>
        </is>
      </c>
      <c r="C8" s="14" t="n">
        <v>300</v>
      </c>
      <c r="D8" s="14" t="n">
        <v>420</v>
      </c>
      <c r="E8" s="14">
        <f>C8-D8</f>
        <v/>
      </c>
      <c r="F8" s="18">
        <f>IF(C8&gt;0,D8/C8,0)</f>
        <v/>
      </c>
    </row>
    <row r="9">
      <c r="B9" s="8" t="inlineStr">
        <is>
          <t>Gas/Transportation</t>
        </is>
      </c>
      <c r="C9" s="14" t="n">
        <v>200</v>
      </c>
      <c r="D9" s="14" t="n">
        <v>175</v>
      </c>
      <c r="E9" s="14">
        <f>C9-D9</f>
        <v/>
      </c>
      <c r="F9" s="18">
        <f>IF(C9&gt;0,D9/C9,0)</f>
        <v/>
      </c>
    </row>
    <row r="10">
      <c r="B10" s="8" t="inlineStr">
        <is>
          <t>Shopping</t>
        </is>
      </c>
      <c r="C10" s="14" t="n">
        <v>200</v>
      </c>
      <c r="D10" s="14" t="n">
        <v>310</v>
      </c>
      <c r="E10" s="14">
        <f>C10-D10</f>
        <v/>
      </c>
      <c r="F10" s="18">
        <f>IF(C10&gt;0,D10/C10,0)</f>
        <v/>
      </c>
    </row>
    <row r="11">
      <c r="B11" s="8" t="inlineStr">
        <is>
          <t>Entertainment</t>
        </is>
      </c>
      <c r="C11" s="14" t="n">
        <v>150</v>
      </c>
      <c r="D11" s="14" t="n">
        <v>125</v>
      </c>
      <c r="E11" s="14">
        <f>C11-D11</f>
        <v/>
      </c>
      <c r="F11" s="18">
        <f>IF(C11&gt;0,D11/C11,0)</f>
        <v/>
      </c>
    </row>
    <row r="12">
      <c r="B12" s="8" t="inlineStr">
        <is>
          <t>Personal Care</t>
        </is>
      </c>
      <c r="C12" s="14" t="n">
        <v>100</v>
      </c>
      <c r="D12" s="14" t="n">
        <v>95</v>
      </c>
      <c r="E12" s="14">
        <f>C12-D12</f>
        <v/>
      </c>
      <c r="F12" s="18">
        <f>IF(C12&gt;0,D12/C12,0)</f>
        <v/>
      </c>
    </row>
    <row r="13">
      <c r="B13" s="8" t="inlineStr">
        <is>
          <t>Gifts</t>
        </is>
      </c>
      <c r="C13" s="14" t="n">
        <v>100</v>
      </c>
      <c r="D13" s="14" t="n">
        <v>150</v>
      </c>
      <c r="E13" s="14">
        <f>C13-D13</f>
        <v/>
      </c>
      <c r="F13" s="18">
        <f>IF(C13&gt;0,D13/C13,0)</f>
        <v/>
      </c>
    </row>
    <row r="14">
      <c r="B14" s="8" t="inlineStr">
        <is>
          <t>Miscellaneous</t>
        </is>
      </c>
      <c r="C14" s="14" t="n">
        <v>200</v>
      </c>
      <c r="D14" s="14" t="n">
        <v>180</v>
      </c>
      <c r="E14" s="14">
        <f>C14-D14</f>
        <v/>
      </c>
      <c r="F14" s="18">
        <f>IF(C14&gt;0,D14/C14,0)</f>
        <v/>
      </c>
    </row>
    <row r="15">
      <c r="B15" s="15" t="n"/>
      <c r="C15" s="15" t="n"/>
      <c r="D15" s="15" t="n"/>
      <c r="E15" s="15">
        <f>C15-D15</f>
        <v/>
      </c>
      <c r="F15" s="15">
        <f>IF(C15&gt;0,D15/C15,0)</f>
        <v/>
      </c>
    </row>
    <row r="16">
      <c r="B16" s="15" t="n"/>
      <c r="C16" s="15" t="n"/>
      <c r="D16" s="15" t="n"/>
      <c r="E16" s="15">
        <f>C16-D16</f>
        <v/>
      </c>
      <c r="F16" s="15">
        <f>IF(C16&gt;0,D16/C16,0)</f>
        <v/>
      </c>
    </row>
    <row r="17">
      <c r="B17" s="15" t="n"/>
      <c r="C17" s="15" t="n"/>
      <c r="D17" s="15" t="n"/>
      <c r="E17" s="15">
        <f>C17-D17</f>
        <v/>
      </c>
      <c r="F17" s="15">
        <f>IF(C17&gt;0,D17/C17,0)</f>
        <v/>
      </c>
    </row>
    <row r="18">
      <c r="B18" s="15" t="n"/>
      <c r="C18" s="15" t="n"/>
      <c r="D18" s="15" t="n"/>
      <c r="E18" s="15">
        <f>C18-D18</f>
        <v/>
      </c>
      <c r="F18" s="15">
        <f>IF(C18&gt;0,D18/C18,0)</f>
        <v/>
      </c>
    </row>
    <row r="19">
      <c r="B19" s="15" t="n"/>
      <c r="C19" s="15" t="n"/>
      <c r="D19" s="15" t="n"/>
      <c r="E19" s="15">
        <f>C19-D19</f>
        <v/>
      </c>
      <c r="F19" s="15">
        <f>IF(C19&gt;0,D19/C19,0)</f>
        <v/>
      </c>
    </row>
    <row r="21">
      <c r="B21" s="16" t="inlineStr">
        <is>
          <t>TOTAL</t>
        </is>
      </c>
      <c r="C21" s="14">
        <f>SUM(C7:C19)</f>
        <v/>
      </c>
      <c r="D21" s="14">
        <f>SUM(D7:D19)</f>
        <v/>
      </c>
      <c r="E21" s="14">
        <f>C21-D21</f>
        <v/>
      </c>
    </row>
    <row r="25">
      <c r="E25">
        <f>D21</f>
        <v/>
      </c>
    </row>
  </sheetData>
  <mergeCells count="3">
    <mergeCell ref="B3:H3"/>
    <mergeCell ref="B2:H2"/>
    <mergeCell ref="B4:D4"/>
  </mergeCells>
  <conditionalFormatting sqref="E7:E14">
    <cfRule type="expression" priority="1" dxfId="2">
      <formula>E7&gt;=0</formula>
    </cfRule>
    <cfRule type="expression" priority="2" dxfId="3">
      <formula>E7&lt;0</formula>
    </cfRule>
  </conditionalFormatting>
  <conditionalFormatting sqref="F7:F14">
    <cfRule type="dataBar" priority="3">
      <dataBar>
        <cfvo type="num" val="0"/>
        <cfvo type="num" val="1.5"/>
        <color rgb="00F5A623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</cols>
  <sheetData>
    <row r="2">
      <c r="B2" s="1" t="inlineStr">
        <is>
          <t>Settings &amp; Assumptions</t>
        </is>
      </c>
    </row>
    <row r="5">
      <c r="A5" t="inlineStr">
        <is>
          <t>Emergency Fund Balance</t>
        </is>
      </c>
      <c r="B5" s="14" t="n">
        <v>15000</v>
      </c>
    </row>
    <row r="6">
      <c r="A6" t="inlineStr">
        <is>
          <t>Target Savings Rate</t>
        </is>
      </c>
      <c r="B6" s="18" t="n">
        <v>0.2</v>
      </c>
    </row>
    <row r="7">
      <c r="A7" t="inlineStr">
        <is>
          <t>Expected Income Growth</t>
        </is>
      </c>
      <c r="B7" s="19" t="n">
        <v>0.03</v>
      </c>
    </row>
    <row r="8">
      <c r="A8" t="inlineStr">
        <is>
          <t>Expected Expense Growth</t>
        </is>
      </c>
      <c r="B8" s="19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2026-01-30T13:36:33+00:00Z</dcterms:created>
  <dcterms:modified xmlns:dcterms="http://purl.org/dc/terms/" xmlns:xsi="http://www.w3.org/2001/XMLSchema-instance" xsi:type="dcterms:W3CDTF">2026-01-30T13:36:33+00:00Z</dcterms:modified>
</cp:coreProperties>
</file>