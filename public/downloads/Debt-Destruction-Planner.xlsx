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bt List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Payoff Schedule" sheetId="4" state="visible" r:id="rId4"/>
    <sheet xmlns:r="http://schemas.openxmlformats.org/officeDocument/2006/relationships" name="Motiv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20">
    <font>
      <name val="Calibri"/>
      <family val="2"/>
      <color theme="1"/>
      <sz val="11"/>
      <scheme val="minor"/>
    </font>
    <font>
      <name val="Calibri"/>
      <b val="1"/>
      <color rgb="00F5A623"/>
      <sz val="24"/>
    </font>
    <font>
      <name val="Calibri"/>
      <color rgb="002D3436"/>
      <sz val="12"/>
    </font>
    <font>
      <name val="Calibri"/>
      <b val="1"/>
      <color rgb="00F5A623"/>
      <sz val="14"/>
    </font>
    <font>
      <name val="Calibri"/>
      <color rgb="002D3436"/>
      <sz val="11"/>
    </font>
    <font>
      <name val="Calibri"/>
      <i val="1"/>
      <color rgb="00F5A623"/>
      <sz val="10"/>
    </font>
    <font>
      <name val="Calibri"/>
      <color rgb="00636E72"/>
      <sz val="14"/>
    </font>
    <font>
      <name val="Calibri"/>
      <i val="1"/>
      <color rgb="00636E72"/>
      <sz val="10"/>
    </font>
    <font>
      <b val="1"/>
      <color rgb="0027AE60"/>
    </font>
    <font>
      <name val="Calibri"/>
      <b val="1"/>
      <color rgb="00FFFFFF"/>
      <sz val="12"/>
    </font>
    <font>
      <b val="1"/>
      <color rgb="00F5A623"/>
    </font>
    <font>
      <b val="1"/>
      <sz val="12"/>
    </font>
    <font>
      <b val="1"/>
      <color rgb="00F5A623"/>
      <sz val="14"/>
    </font>
    <font>
      <color rgb="0027AE60"/>
      <sz val="12"/>
    </font>
    <font>
      <color rgb="002D3436"/>
      <sz val="12"/>
    </font>
    <font>
      <color rgb="0027AE60"/>
    </font>
    <font>
      <b val="1"/>
      <sz val="9"/>
    </font>
    <font>
      <color rgb="00636E72"/>
      <sz val="9"/>
    </font>
    <font>
      <b val="1"/>
      <color rgb="0027AE60"/>
      <sz val="1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3D4"/>
        <bgColor rgb="00FFF3D4"/>
      </patternFill>
    </fill>
    <fill>
      <patternFill patternType="solid">
        <fgColor rgb="00F5A623"/>
        <bgColor rgb="00F5A623"/>
      </patternFill>
    </fill>
  </fills>
  <borders count="3">
    <border>
      <left/>
      <right/>
      <top/>
      <bottom/>
      <diagonal/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4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0" fontId="0" fillId="0" borderId="0" pivotButton="0" quotePrefix="0" xfId="0"/>
    <xf numFmtId="0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164" fontId="11" fillId="0" borderId="0" pivotButton="0" quotePrefix="0" xfId="0"/>
    <xf numFmtId="165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5" fontId="4" fillId="0" borderId="2" applyAlignment="1" pivotButton="0" quotePrefix="0" xfId="0">
      <alignment horizontal="right" vertical="center"/>
    </xf>
    <xf numFmtId="165" fontId="18" fillId="0" borderId="0" pivotButton="0" quotePrefix="0" xfId="0"/>
    <xf numFmtId="9" fontId="19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>
      <c r="B2" s="1" t="inlineStr">
        <is>
          <t>📊 Debt Destruction Planner</t>
        </is>
      </c>
    </row>
    <row r="4">
      <c r="B4" s="2" t="inlineStr">
        <is>
          <t>Welcome to your premium financial planning tool from Charge Wealth!</t>
        </is>
      </c>
    </row>
    <row r="6" ht="25" customHeight="1">
      <c r="B6" s="3" t="inlineStr">
        <is>
          <t>🎯 Overview</t>
        </is>
      </c>
    </row>
    <row r="7" ht="20" customHeight="1">
      <c r="B7" s="4" t="inlineStr">
        <is>
          <t xml:space="preserve">  • This Debt Destruction Planner helps you become debt-free faster.</t>
        </is>
      </c>
    </row>
    <row r="8" ht="35" customHeight="1">
      <c r="B8" s="4" t="inlineStr">
        <is>
          <t xml:space="preserve">  • Compare Avalanche (highest interest first) vs Snowball (smallest balance first) methods.</t>
        </is>
      </c>
    </row>
    <row r="9" ht="20" customHeight="1">
      <c r="B9" s="4" t="inlineStr">
        <is>
          <t xml:space="preserve">  • See exactly how much you'll save and when you'll be debt-free.</t>
        </is>
      </c>
    </row>
    <row r="11" ht="25" customHeight="1">
      <c r="B11" s="3" t="inlineStr">
        <is>
          <t>📝 Getting Started</t>
        </is>
      </c>
    </row>
    <row r="12" ht="20" customHeight="1">
      <c r="B12" s="4" t="inlineStr">
        <is>
          <t xml:space="preserve">  • Enter all your debts in the 'Debt List' sheet</t>
        </is>
      </c>
    </row>
    <row r="13" ht="20" customHeight="1">
      <c r="B13" s="4" t="inlineStr">
        <is>
          <t xml:space="preserve">  • Set your total monthly payment budget</t>
        </is>
      </c>
    </row>
    <row r="14" ht="20" customHeight="1">
      <c r="B14" s="4" t="inlineStr">
        <is>
          <t xml:space="preserve">  • The 'Comparison' sheet shows both strategies side-by-side</t>
        </is>
      </c>
    </row>
    <row r="15" ht="20" customHeight="1">
      <c r="B15" s="4" t="inlineStr">
        <is>
          <t xml:space="preserve">  • Use 'Payoff Schedule' to track your progress</t>
        </is>
      </c>
    </row>
    <row r="17" ht="25" customHeight="1">
      <c r="B17" s="3" t="inlineStr">
        <is>
          <t>💡 Strategy Guide</t>
        </is>
      </c>
    </row>
    <row r="18" ht="20" customHeight="1">
      <c r="B18" s="4" t="inlineStr">
        <is>
          <t xml:space="preserve">  • AVALANCHE: Pay minimum on all, extra to highest rate. Saves the most money.</t>
        </is>
      </c>
    </row>
    <row r="19" ht="20" customHeight="1">
      <c r="B19" s="4" t="inlineStr">
        <is>
          <t xml:space="preserve">  • SNOWBALL: Pay minimum on all, extra to smallest balance. Psychological wins.</t>
        </is>
      </c>
    </row>
    <row r="20" ht="20" customHeight="1">
      <c r="B20" s="4" t="inlineStr">
        <is>
          <t xml:space="preserve">  • HYBRID: Start with snowball for momentum, switch to avalanche later.</t>
        </is>
      </c>
    </row>
    <row r="22" ht="25" customHeight="1">
      <c r="B22" s="3" t="inlineStr">
        <is>
          <t>🔥 Motivation Tips</t>
        </is>
      </c>
    </row>
    <row r="23" ht="20" customHeight="1">
      <c r="B23" s="4" t="inlineStr">
        <is>
          <t xml:space="preserve">  • Post your debt-free date somewhere visible</t>
        </is>
      </c>
    </row>
    <row r="24" ht="20" customHeight="1">
      <c r="B24" s="4" t="inlineStr">
        <is>
          <t xml:space="preserve">  • Celebrate each debt payoff (but not with spending!)</t>
        </is>
      </c>
    </row>
    <row r="25" ht="20" customHeight="1">
      <c r="B25" s="4" t="inlineStr">
        <is>
          <t xml:space="preserve">  • Track your total interest saved - it adds up fast</t>
        </is>
      </c>
    </row>
    <row r="26" ht="20" customHeight="1">
      <c r="B26" s="4" t="inlineStr">
        <is>
          <t xml:space="preserve">  • Every extra dollar toward debt accelerates your timeline</t>
        </is>
      </c>
    </row>
    <row r="29">
      <c r="B29" s="5" t="inlineStr">
        <is>
          <t>Questions? Visit chargewealth.co for support and more premium tools.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Debt Destruction Planner</t>
        </is>
      </c>
    </row>
    <row r="3">
      <c r="B3" s="6" t="inlineStr">
        <is>
          <t>List All Your Debts</t>
        </is>
      </c>
    </row>
    <row r="4">
      <c r="B4" s="7" t="inlineStr">
        <is>
          <t>Powered by Charge Wealth</t>
        </is>
      </c>
    </row>
    <row r="6">
      <c r="B6" s="3" t="inlineStr">
        <is>
          <t>PAYOFF SETTINGS</t>
        </is>
      </c>
    </row>
    <row r="8">
      <c r="B8" t="inlineStr">
        <is>
          <t>Total Monthly Budget</t>
        </is>
      </c>
      <c r="C8" s="8" t="n">
        <v>1500</v>
      </c>
    </row>
    <row r="9">
      <c r="B9" t="inlineStr">
        <is>
          <t>Min Payments Total</t>
        </is>
      </c>
      <c r="C9" s="9">
        <f>SUM(F14:F25)</f>
        <v/>
      </c>
    </row>
    <row r="10">
      <c r="B10" t="inlineStr">
        <is>
          <t>Extra Payment Available</t>
        </is>
      </c>
      <c r="C10" s="10">
        <f>C8-C9</f>
        <v/>
      </c>
    </row>
    <row r="13">
      <c r="B13" s="3" t="inlineStr">
        <is>
          <t>YOUR DEBTS</t>
        </is>
      </c>
    </row>
    <row r="14">
      <c r="B14" s="11" t="inlineStr">
        <is>
          <t>Debt Name</t>
        </is>
      </c>
      <c r="C14" s="11" t="inlineStr">
        <is>
          <t>Balance</t>
        </is>
      </c>
      <c r="D14" s="11" t="inlineStr">
        <is>
          <t>Interest Rate</t>
        </is>
      </c>
      <c r="E14" s="11" t="inlineStr">
        <is>
          <t>Min Payment</t>
        </is>
      </c>
      <c r="F14" s="11" t="inlineStr">
        <is>
          <t>Avalanche Rank</t>
        </is>
      </c>
      <c r="G14" s="11" t="inlineStr">
        <is>
          <t>Snowball Rank</t>
        </is>
      </c>
    </row>
    <row r="15">
      <c r="B15" t="inlineStr">
        <is>
          <t>Credit Card 1 (Chase)</t>
        </is>
      </c>
      <c r="C15" s="9" t="n">
        <v>8500</v>
      </c>
      <c r="D15" s="12" t="n">
        <v>0.2199</v>
      </c>
      <c r="E15" s="9" t="n">
        <v>170</v>
      </c>
      <c r="F15">
        <f>RANK(D15,D$14:D$25,0)</f>
        <v/>
      </c>
      <c r="G15">
        <f>RANK(C15,C$14:C$25,1)</f>
        <v/>
      </c>
    </row>
    <row r="16">
      <c r="B16" t="inlineStr">
        <is>
          <t>Credit Card 2 (Citi)</t>
        </is>
      </c>
      <c r="C16" s="9" t="n">
        <v>4200</v>
      </c>
      <c r="D16" s="12" t="n">
        <v>0.1899</v>
      </c>
      <c r="E16" s="9" t="n">
        <v>84</v>
      </c>
      <c r="F16">
        <f>RANK(D16,D$14:D$25,0)</f>
        <v/>
      </c>
      <c r="G16">
        <f>RANK(C16,C$14:C$25,1)</f>
        <v/>
      </c>
    </row>
    <row r="17">
      <c r="B17" t="inlineStr">
        <is>
          <t>Car Loan</t>
        </is>
      </c>
      <c r="C17" s="9" t="n">
        <v>15000</v>
      </c>
      <c r="D17" s="12" t="n">
        <v>0.0599</v>
      </c>
      <c r="E17" s="9" t="n">
        <v>350</v>
      </c>
      <c r="F17">
        <f>RANK(D17,D$14:D$25,0)</f>
        <v/>
      </c>
      <c r="G17">
        <f>RANK(C17,C$14:C$25,1)</f>
        <v/>
      </c>
    </row>
    <row r="18">
      <c r="B18" t="inlineStr">
        <is>
          <t>Student Loan</t>
        </is>
      </c>
      <c r="C18" s="9" t="n">
        <v>25000</v>
      </c>
      <c r="D18" s="12" t="n">
        <v>0.055</v>
      </c>
      <c r="E18" s="9" t="n">
        <v>280</v>
      </c>
      <c r="F18">
        <f>RANK(D18,D$14:D$25,0)</f>
        <v/>
      </c>
      <c r="G18">
        <f>RANK(C18,C$14:C$25,1)</f>
        <v/>
      </c>
    </row>
    <row r="19">
      <c r="B19" t="inlineStr">
        <is>
          <t>Personal Loan</t>
        </is>
      </c>
      <c r="C19" s="9" t="n">
        <v>3000</v>
      </c>
      <c r="D19" s="12" t="n">
        <v>0.1299</v>
      </c>
      <c r="E19" s="9" t="n">
        <v>150</v>
      </c>
      <c r="F19">
        <f>RANK(D19,D$14:D$25,0)</f>
        <v/>
      </c>
      <c r="G19">
        <f>RANK(C19,C$14:C$25,1)</f>
        <v/>
      </c>
    </row>
    <row r="20">
      <c r="B20" s="13" t="n"/>
      <c r="C20" s="13" t="n"/>
      <c r="D20" s="13" t="n"/>
      <c r="E20" s="13" t="n"/>
      <c r="F20" s="13">
        <f>IF(D20="","",RANK(D20,D$14:D$25,0))</f>
        <v/>
      </c>
      <c r="G20" s="13">
        <f>IF(C20="","",RANK(C20,C$14:C$25,1))</f>
        <v/>
      </c>
    </row>
    <row r="21">
      <c r="B21" s="13" t="n"/>
      <c r="C21" s="13" t="n"/>
      <c r="D21" s="13" t="n"/>
      <c r="E21" s="13" t="n"/>
      <c r="F21" s="13">
        <f>IF(D21="","",RANK(D21,D$14:D$25,0))</f>
        <v/>
      </c>
      <c r="G21" s="13">
        <f>IF(C21="","",RANK(C21,C$14:C$25,1))</f>
        <v/>
      </c>
    </row>
    <row r="22">
      <c r="B22" s="13" t="n"/>
      <c r="C22" s="13" t="n"/>
      <c r="D22" s="13" t="n"/>
      <c r="E22" s="13" t="n"/>
      <c r="F22" s="13">
        <f>IF(D22="","",RANK(D22,D$14:D$25,0))</f>
        <v/>
      </c>
      <c r="G22" s="13">
        <f>IF(C22="","",RANK(C22,C$14:C$25,1))</f>
        <v/>
      </c>
    </row>
    <row r="23">
      <c r="B23" s="13" t="n"/>
      <c r="C23" s="13" t="n"/>
      <c r="D23" s="13" t="n"/>
      <c r="E23" s="13" t="n"/>
      <c r="F23" s="13">
        <f>IF(D23="","",RANK(D23,D$14:D$25,0))</f>
        <v/>
      </c>
      <c r="G23" s="13">
        <f>IF(C23="","",RANK(C23,C$14:C$25,1))</f>
        <v/>
      </c>
    </row>
    <row r="24">
      <c r="B24" s="13" t="n"/>
      <c r="C24" s="13" t="n"/>
      <c r="D24" s="13" t="n"/>
      <c r="E24" s="13" t="n"/>
      <c r="F24" s="13">
        <f>IF(D24="","",RANK(D24,D$14:D$25,0))</f>
        <v/>
      </c>
      <c r="G24" s="13">
        <f>IF(C24="","",RANK(C24,C$14:C$25,1))</f>
        <v/>
      </c>
    </row>
    <row r="25">
      <c r="B25" s="13" t="n"/>
      <c r="C25" s="13" t="n"/>
      <c r="D25" s="13" t="n"/>
      <c r="E25" s="13" t="n"/>
      <c r="F25" s="13">
        <f>IF(D25="","",RANK(D25,D$14:D$25,0))</f>
        <v/>
      </c>
      <c r="G25" s="13">
        <f>IF(C25="","",RANK(C25,C$14:C$25,1))</f>
        <v/>
      </c>
    </row>
    <row r="26">
      <c r="B26" s="13" t="n"/>
      <c r="C26" s="13" t="n"/>
      <c r="D26" s="13" t="n"/>
      <c r="E26" s="13" t="n"/>
      <c r="F26" s="13">
        <f>IF(D26="","",RANK(D26,D$14:D$25,0))</f>
        <v/>
      </c>
      <c r="G26" s="13">
        <f>IF(C26="","",RANK(C26,C$14:C$25,1))</f>
        <v/>
      </c>
    </row>
    <row r="28">
      <c r="B28" s="14" t="inlineStr">
        <is>
          <t>TOTALS</t>
        </is>
      </c>
      <c r="C28" s="15">
        <f>SUM(C15:C26)</f>
        <v/>
      </c>
      <c r="E28" s="15">
        <f>SUM(E15:E26)</f>
        <v/>
      </c>
    </row>
  </sheetData>
  <mergeCells count="5">
    <mergeCell ref="B13:H13"/>
    <mergeCell ref="B6:E6"/>
    <mergeCell ref="B4:D4"/>
    <mergeCell ref="B2:H2"/>
    <mergeCell ref="B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Strategy Comparison</t>
        </is>
      </c>
    </row>
    <row r="3">
      <c r="B3" s="6" t="inlineStr">
        <is>
          <t>Avalanche vs Snowball</t>
        </is>
      </c>
    </row>
    <row r="4">
      <c r="B4" s="7" t="inlineStr">
        <is>
          <t>Powered by Charge Wealth</t>
        </is>
      </c>
    </row>
    <row r="6">
      <c r="B6" s="3" t="inlineStr">
        <is>
          <t>METHOD COMPARISON</t>
        </is>
      </c>
    </row>
    <row r="8">
      <c r="B8" s="11" t="inlineStr">
        <is>
          <t>Metric</t>
        </is>
      </c>
      <c r="C8" s="11" t="inlineStr">
        <is>
          <t>Avalanche</t>
        </is>
      </c>
      <c r="D8" s="11" t="inlineStr">
        <is>
          <t>Snowball</t>
        </is>
      </c>
      <c r="E8" s="11" t="inlineStr">
        <is>
          <t>Difference</t>
        </is>
      </c>
    </row>
    <row r="9">
      <c r="B9" t="inlineStr">
        <is>
          <t>Total Interest Paid</t>
        </is>
      </c>
      <c r="C9" s="16" t="n">
        <v>4850</v>
      </c>
      <c r="D9" s="16" t="n">
        <v>5320</v>
      </c>
      <c r="E9" s="16" t="n">
        <v>-470</v>
      </c>
    </row>
    <row r="10">
      <c r="B10" t="inlineStr">
        <is>
          <t>Months to Debt-Free</t>
        </is>
      </c>
      <c r="C10" t="n">
        <v>36</v>
      </c>
      <c r="D10" t="n">
        <v>38</v>
      </c>
      <c r="E10" t="n">
        <v>-2</v>
      </c>
    </row>
    <row r="11">
      <c r="B11" t="inlineStr">
        <is>
          <t>First Debt Paid Off</t>
        </is>
      </c>
      <c r="C11" t="inlineStr">
        <is>
          <t>Month 8</t>
        </is>
      </c>
      <c r="D11" t="inlineStr">
        <is>
          <t>Month 5</t>
        </is>
      </c>
      <c r="E11" t="inlineStr">
        <is>
          <t>Snowball faster</t>
        </is>
      </c>
    </row>
    <row r="12">
      <c r="B12" t="inlineStr">
        <is>
          <t>Total Amount Paid</t>
        </is>
      </c>
      <c r="C12" s="16" t="n">
        <v>60550</v>
      </c>
      <c r="D12" s="16" t="n">
        <v>61020</v>
      </c>
      <c r="E12" s="16" t="n">
        <v>-470</v>
      </c>
    </row>
    <row r="15">
      <c r="B15" s="17" t="inlineStr">
        <is>
          <t>💡 RECOMMENDATION</t>
        </is>
      </c>
    </row>
    <row r="16">
      <c r="B16" s="18" t="inlineStr">
        <is>
          <t>Avalanche saves you $470 in interest!</t>
        </is>
      </c>
    </row>
    <row r="17">
      <c r="B17" s="19" t="inlineStr">
        <is>
          <t>But Snowball gives you a win 3 months sooner.</t>
        </is>
      </c>
    </row>
    <row r="18">
      <c r="B18" t="inlineStr">
        <is>
          <t>Choose based on what motivates you!</t>
        </is>
      </c>
    </row>
    <row r="21">
      <c r="B21" s="3" t="inlineStr">
        <is>
          <t>EXTRA PAYMENT IMPACT</t>
        </is>
      </c>
    </row>
    <row r="23">
      <c r="B23" t="inlineStr">
        <is>
          <t>If you add extra each month:</t>
        </is>
      </c>
    </row>
    <row r="24">
      <c r="B24" t="inlineStr">
        <is>
          <t>$50 extra</t>
        </is>
      </c>
      <c r="C24" s="20" t="inlineStr">
        <is>
          <t>Save $380</t>
        </is>
      </c>
      <c r="D24" t="inlineStr">
        <is>
          <t>2 months sooner</t>
        </is>
      </c>
    </row>
    <row r="25">
      <c r="B25" t="inlineStr">
        <is>
          <t>$100 extra</t>
        </is>
      </c>
      <c r="C25" s="20" t="inlineStr">
        <is>
          <t>Save $720</t>
        </is>
      </c>
      <c r="D25" t="inlineStr">
        <is>
          <t>4 months sooner</t>
        </is>
      </c>
    </row>
    <row r="26">
      <c r="B26" t="inlineStr">
        <is>
          <t>$200 extra</t>
        </is>
      </c>
      <c r="C26" s="20" t="inlineStr">
        <is>
          <t>Save $1,280</t>
        </is>
      </c>
      <c r="D26" t="inlineStr">
        <is>
          <t>7 months sooner</t>
        </is>
      </c>
    </row>
    <row r="27">
      <c r="B27" t="inlineStr">
        <is>
          <t>$500 extra</t>
        </is>
      </c>
      <c r="C27" s="20" t="inlineStr">
        <is>
          <t>Save $2,450</t>
        </is>
      </c>
      <c r="D27" t="inlineStr">
        <is>
          <t>14 months sooner</t>
        </is>
      </c>
    </row>
  </sheetData>
  <mergeCells count="5">
    <mergeCell ref="B6:E6"/>
    <mergeCell ref="B21:E21"/>
    <mergeCell ref="B4:D4"/>
    <mergeCell ref="B2:H2"/>
    <mergeCell ref="B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1" t="inlineStr">
        <is>
          <t>Payoff Schedule</t>
        </is>
      </c>
    </row>
    <row r="3">
      <c r="B3" s="6" t="inlineStr">
        <is>
          <t>Month-by-Month Plan</t>
        </is>
      </c>
    </row>
    <row r="4">
      <c r="B4" s="7" t="inlineStr">
        <is>
          <t>Powered by Charge Wealth</t>
        </is>
      </c>
    </row>
    <row r="6">
      <c r="B6" s="3" t="inlineStr">
        <is>
          <t>AVALANCHE METHOD SCHEDULE</t>
        </is>
      </c>
    </row>
    <row r="8">
      <c r="B8" s="11" t="inlineStr">
        <is>
          <t>Month</t>
        </is>
      </c>
      <c r="C8" s="21" t="inlineStr">
        <is>
          <t>CC1 (21.99%)</t>
        </is>
      </c>
      <c r="E8" s="21" t="inlineStr">
        <is>
          <t>CC2 (18.99%)</t>
        </is>
      </c>
      <c r="G8" s="21" t="inlineStr">
        <is>
          <t>Personal (12.99%)</t>
        </is>
      </c>
      <c r="I8" s="21" t="inlineStr">
        <is>
          <t>Car (5.99%)</t>
        </is>
      </c>
      <c r="K8" s="21" t="inlineStr">
        <is>
          <t>Student (5.5%)</t>
        </is>
      </c>
    </row>
    <row r="9">
      <c r="B9" t="inlineStr"/>
      <c r="C9" s="22" t="inlineStr">
        <is>
          <t>Pmt</t>
        </is>
      </c>
      <c r="D9" s="22" t="inlineStr">
        <is>
          <t>Bal</t>
        </is>
      </c>
      <c r="E9" s="22" t="inlineStr">
        <is>
          <t>Pmt</t>
        </is>
      </c>
      <c r="F9" s="22" t="inlineStr">
        <is>
          <t>Bal</t>
        </is>
      </c>
      <c r="G9" s="22" t="inlineStr">
        <is>
          <t>Pmt</t>
        </is>
      </c>
      <c r="H9" s="22" t="inlineStr">
        <is>
          <t>Bal</t>
        </is>
      </c>
      <c r="I9" s="22" t="inlineStr">
        <is>
          <t>Pmt</t>
        </is>
      </c>
      <c r="J9" s="22" t="inlineStr">
        <is>
          <t>Bal</t>
        </is>
      </c>
      <c r="K9" s="22" t="inlineStr">
        <is>
          <t>Pmt</t>
        </is>
      </c>
      <c r="L9" s="22" t="inlineStr">
        <is>
          <t>Bal</t>
        </is>
      </c>
    </row>
    <row r="10">
      <c r="B10" t="n">
        <v>1</v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B11" t="n">
        <v>2</v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</row>
    <row r="12">
      <c r="B12" t="n">
        <v>3</v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</row>
    <row r="13">
      <c r="B13" t="n">
        <v>4</v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</row>
    <row r="14">
      <c r="B14" t="n">
        <v>5</v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</row>
    <row r="15">
      <c r="B15" t="n">
        <v>6</v>
      </c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</row>
    <row r="16">
      <c r="B16" t="n">
        <v>7</v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</row>
    <row r="17">
      <c r="B17" t="n">
        <v>8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</row>
    <row r="18">
      <c r="B18" t="n">
        <v>9</v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</row>
    <row r="19">
      <c r="B19" t="n">
        <v>10</v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</row>
    <row r="20">
      <c r="B20" t="n">
        <v>11</v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>
      <c r="B21" t="n">
        <v>12</v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</row>
  </sheetData>
  <mergeCells count="9">
    <mergeCell ref="K8:L8"/>
    <mergeCell ref="B4:D4"/>
    <mergeCell ref="B2:H2"/>
    <mergeCell ref="I8:J8"/>
    <mergeCell ref="G8:H8"/>
    <mergeCell ref="B3:H3"/>
    <mergeCell ref="B6:N6"/>
    <mergeCell ref="E8:F8"/>
    <mergeCell ref="C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  <col width="20" customWidth="1" min="4" max="4"/>
  </cols>
  <sheetData>
    <row r="2">
      <c r="B2" s="1" t="inlineStr">
        <is>
          <t>Debt Freedom Tracker</t>
        </is>
      </c>
    </row>
    <row r="3">
      <c r="B3" s="6" t="inlineStr">
        <is>
          <t>Celebrate Your Progress!</t>
        </is>
      </c>
    </row>
    <row r="4">
      <c r="B4" s="7" t="inlineStr">
        <is>
          <t>Powered by Charge Wealth</t>
        </is>
      </c>
    </row>
    <row r="6">
      <c r="B6" s="3" t="inlineStr">
        <is>
          <t>YOUR DEBT-FREE COUNTDOWN</t>
        </is>
      </c>
    </row>
    <row r="8">
      <c r="B8" t="inlineStr">
        <is>
          <t>Starting Total Debt</t>
        </is>
      </c>
      <c r="C8" s="16">
        <f>'Debt List'!C26</f>
        <v/>
      </c>
    </row>
    <row r="9">
      <c r="B9" t="inlineStr">
        <is>
          <t>Current Total Debt</t>
        </is>
      </c>
      <c r="C9" s="16" t="n">
        <v>0</v>
      </c>
    </row>
    <row r="10">
      <c r="B10" t="inlineStr">
        <is>
          <t>Total Paid Off!</t>
        </is>
      </c>
      <c r="C10" s="24">
        <f>C8-C9</f>
        <v/>
      </c>
    </row>
    <row r="11">
      <c r="B11" t="inlineStr">
        <is>
          <t>Progress</t>
        </is>
      </c>
      <c r="C11" s="25">
        <f>IF(C8&gt;0,C10/C8,0)</f>
        <v/>
      </c>
    </row>
    <row r="14">
      <c r="B14" s="3" t="inlineStr">
        <is>
          <t>🏆 MILESTONES</t>
        </is>
      </c>
    </row>
    <row r="16">
      <c r="B16" t="inlineStr">
        <is>
          <t>First $1,000 paid off</t>
        </is>
      </c>
      <c r="C16" s="26" t="inlineStr"/>
    </row>
    <row r="17">
      <c r="B17" t="inlineStr">
        <is>
          <t>25% debt-free</t>
        </is>
      </c>
      <c r="C17" s="26" t="inlineStr"/>
    </row>
    <row r="18">
      <c r="B18" t="inlineStr">
        <is>
          <t>First debt eliminated</t>
        </is>
      </c>
      <c r="C18" s="26" t="inlineStr"/>
    </row>
    <row r="19">
      <c r="B19" t="inlineStr">
        <is>
          <t>50% debt-free</t>
        </is>
      </c>
      <c r="C19" s="26" t="inlineStr"/>
    </row>
    <row r="20">
      <c r="B20" t="inlineStr">
        <is>
          <t>75% debt-free</t>
        </is>
      </c>
      <c r="C20" s="26" t="inlineStr"/>
    </row>
    <row r="21">
      <c r="B21" t="inlineStr">
        <is>
          <t>100% DEBT FREE! 🎉</t>
        </is>
      </c>
      <c r="C21" s="26" t="inlineStr"/>
    </row>
  </sheetData>
  <mergeCells count="5">
    <mergeCell ref="B14:D14"/>
    <mergeCell ref="B4:D4"/>
    <mergeCell ref="B2:H2"/>
    <mergeCell ref="B3:H3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2026-01-30T13:36:33+00:00Z</dcterms:created>
  <dcterms:modified xmlns:dcterms="http://purl.org/dc/terms/" xmlns:xsi="http://www.w3.org/2001/XMLSchema-instance" xsi:type="dcterms:W3CDTF">2026-01-30T13:36:33+00:00Z</dcterms:modified>
</cp:coreProperties>
</file>