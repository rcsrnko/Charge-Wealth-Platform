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Liabilities" sheetId="4" state="visible" r:id="rId4"/>
    <sheet xmlns:r="http://schemas.openxmlformats.org/officeDocument/2006/relationships"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F5A623"/>
      <sz val="24"/>
    </font>
    <font>
      <name val="Calibri"/>
      <color rgb="002D3436"/>
      <sz val="12"/>
    </font>
    <font>
      <name val="Calibri"/>
      <b val="1"/>
      <color rgb="00F5A623"/>
      <sz val="14"/>
    </font>
    <font>
      <name val="Calibri"/>
      <color rgb="002D3436"/>
      <sz val="11"/>
    </font>
    <font>
      <name val="Calibri"/>
      <i val="1"/>
      <color rgb="00F5A623"/>
      <sz val="10"/>
    </font>
    <font>
      <name val="Calibri"/>
      <color rgb="00636E72"/>
      <sz val="14"/>
    </font>
    <font>
      <name val="Calibri"/>
      <i val="1"/>
      <color rgb="00636E72"/>
      <sz val="10"/>
    </font>
    <font>
      <color rgb="0027AE60"/>
      <sz val="14"/>
    </font>
    <font>
      <color rgb="00E74C3C"/>
      <sz val="14"/>
    </font>
    <font>
      <b val="1"/>
      <sz val="16"/>
    </font>
    <font>
      <b val="1"/>
      <color rgb="00F5A623"/>
      <sz val="18"/>
    </font>
    <font>
      <name val="Calibri"/>
      <b val="1"/>
      <color rgb="00FFFFFF"/>
      <sz val="12"/>
    </font>
    <font>
      <b val="1"/>
    </font>
    <font>
      <b val="1"/>
      <color rgb="00F5A623"/>
      <sz val="16"/>
    </font>
    <font>
      <b val="1"/>
      <color rgb="00E74C3C"/>
      <sz val="16"/>
    </font>
  </fonts>
  <fills count="5">
    <fill>
      <patternFill/>
    </fill>
    <fill>
      <patternFill patternType="gray125"/>
    </fill>
    <fill>
      <patternFill patternType="solid">
        <fgColor rgb="00FFF3D4"/>
        <bgColor rgb="00FFF3D4"/>
      </patternFill>
    </fill>
    <fill>
      <patternFill patternType="solid">
        <fgColor rgb="00F5A623"/>
        <bgColor rgb="00F5A623"/>
      </patternFill>
    </fill>
    <fill>
      <patternFill patternType="solid">
        <fgColor rgb="00FFCCCB"/>
        <bgColor rgb="00FFCCCB"/>
      </patternFill>
    </fill>
  </fills>
  <borders count="3">
    <border>
      <left/>
      <right/>
      <top/>
      <bottom/>
      <diagonal/>
    </border>
    <border>
      <left style="thin">
        <color rgb="00F5A623"/>
      </left>
      <right style="thin">
        <color rgb="00F5A623"/>
      </right>
      <top style="thin">
        <color rgb="00F5A623"/>
      </top>
      <bottom style="thin">
        <color rgb="00F5A623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4" fontId="1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2" fillId="3" borderId="1" applyAlignment="1" pivotButton="0" quotePrefix="0" xfId="0">
      <alignment horizontal="center" vertical="center" wrapText="1"/>
    </xf>
    <xf numFmtId="9" fontId="0" fillId="0" borderId="0" pivotButton="0" quotePrefix="0" xfId="0"/>
    <xf numFmtId="164" fontId="0" fillId="0" borderId="0" pivotButton="0" quotePrefix="0" xfId="0"/>
    <xf numFmtId="0" fontId="4" fillId="0" borderId="2" applyAlignment="1" pivotButton="0" quotePrefix="0" xfId="0">
      <alignment horizontal="right" vertical="center"/>
    </xf>
    <xf numFmtId="164" fontId="13" fillId="0" borderId="0" pivotButton="0" quotePrefix="0" xfId="0"/>
    <xf numFmtId="0" fontId="14" fillId="0" borderId="0" pivotButton="0" quotePrefix="0" xfId="0"/>
    <xf numFmtId="164" fontId="10" fillId="2" borderId="0" pivotButton="0" quotePrefix="0" xfId="0"/>
    <xf numFmtId="10" fontId="0" fillId="0" borderId="0" pivotButton="0" quotePrefix="0" xfId="0"/>
    <xf numFmtId="0" fontId="15" fillId="0" borderId="0" pivotButton="0" quotePrefix="0" xfId="0"/>
    <xf numFmtId="164" fontId="1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'Dashboard'!$B$15:$B$19</f>
            </numRef>
          </cat>
          <val>
            <numRef>
              <f>'Dashboard'!$C$15:$C$19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'History'!E6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'History'!$B$7:$B$12</f>
            </numRef>
          </cat>
          <val>
            <numRef>
              <f>'History'!$E$7:$E$12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26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>
      <c r="B2" s="1" t="inlineStr">
        <is>
          <t>📊 Net Worth Dashboard</t>
        </is>
      </c>
    </row>
    <row r="4">
      <c r="B4" s="2" t="inlineStr">
        <is>
          <t>Welcome to your premium financial planning tool from Charge Wealth!</t>
        </is>
      </c>
    </row>
    <row r="6" ht="25" customHeight="1">
      <c r="B6" s="3" t="inlineStr">
        <is>
          <t>🎯 Overview</t>
        </is>
      </c>
    </row>
    <row r="7" ht="35" customHeight="1">
      <c r="B7" s="4" t="inlineStr">
        <is>
          <t xml:space="preserve">  • Track your complete financial picture with assets, liabilities, and net worth over time.</t>
        </is>
      </c>
    </row>
    <row r="8" ht="20" customHeight="1">
      <c r="B8" s="4" t="inlineStr">
        <is>
          <t xml:space="preserve">  • Set goals and watch your progress with visual charts and trend analysis.</t>
        </is>
      </c>
    </row>
    <row r="9" ht="20" customHeight="1">
      <c r="B9" s="4" t="inlineStr">
        <is>
          <t xml:space="preserve">  • Update monthly for best results.</t>
        </is>
      </c>
    </row>
    <row r="11" ht="25" customHeight="1">
      <c r="B11" s="3" t="inlineStr">
        <is>
          <t>📝 Getting Started</t>
        </is>
      </c>
    </row>
    <row r="12" ht="20" customHeight="1">
      <c r="B12" s="4" t="inlineStr">
        <is>
          <t xml:space="preserve">  • Enter all assets in the 'Assets' sheet (cash, investments, property, etc.)</t>
        </is>
      </c>
    </row>
    <row r="13" ht="35" customHeight="1">
      <c r="B13" s="4" t="inlineStr">
        <is>
          <t xml:space="preserve">  • Enter all liabilities in the 'Liabilities' sheet (mortgages, loans, credit cards)</t>
        </is>
      </c>
    </row>
    <row r="14" ht="20" customHeight="1">
      <c r="B14" s="4" t="inlineStr">
        <is>
          <t xml:space="preserve">  • The Dashboard calculates your net worth automatically</t>
        </is>
      </c>
    </row>
    <row r="15" ht="20" customHeight="1">
      <c r="B15" s="4" t="inlineStr">
        <is>
          <t xml:space="preserve">  • Use 'History' to track changes over time</t>
        </is>
      </c>
    </row>
    <row r="17" ht="25" customHeight="1">
      <c r="B17" s="3" t="inlineStr">
        <is>
          <t>💡 Pro Tips</t>
        </is>
      </c>
    </row>
    <row r="18" ht="20" customHeight="1">
      <c r="B18" s="4" t="inlineStr">
        <is>
          <t xml:space="preserve">  • Update account balances on the same day each month for consistency</t>
        </is>
      </c>
    </row>
    <row r="19" ht="20" customHeight="1">
      <c r="B19" s="4" t="inlineStr">
        <is>
          <t xml:space="preserve">  • Include ALL assets - even small savings accounts</t>
        </is>
      </c>
    </row>
    <row r="20" ht="20" customHeight="1">
      <c r="B20" s="4" t="inlineStr">
        <is>
          <t xml:space="preserve">  • Don't forget to include your car's current value (use KBB)</t>
        </is>
      </c>
    </row>
    <row r="21" ht="20" customHeight="1">
      <c r="B21" s="4" t="inlineStr">
        <is>
          <t xml:space="preserve">  • Review your asset allocation quarterly</t>
        </is>
      </c>
    </row>
    <row r="23" ht="25" customHeight="1">
      <c r="B23" s="3" t="inlineStr">
        <is>
          <t>📊 Goal Setting</t>
        </is>
      </c>
    </row>
    <row r="24" ht="20" customHeight="1">
      <c r="B24" s="4" t="inlineStr">
        <is>
          <t xml:space="preserve">  • Set a 1-year, 5-year, and 10-year net worth goal</t>
        </is>
      </c>
    </row>
    <row r="25" ht="20" customHeight="1">
      <c r="B25" s="4" t="inlineStr">
        <is>
          <t xml:space="preserve">  • The calculator shows if you're on track</t>
        </is>
      </c>
    </row>
    <row r="26" ht="20" customHeight="1">
      <c r="B26" s="4" t="inlineStr">
        <is>
          <t xml:space="preserve">  • Adjust savings rate to hit your targets</t>
        </is>
      </c>
    </row>
    <row r="29">
      <c r="B29" s="5" t="inlineStr">
        <is>
          <t>Questions? Visit chargewealth.co for support and more premium tools.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2">
      <c r="B2" s="1" t="inlineStr">
        <is>
          <t>Net Worth Dashboard</t>
        </is>
      </c>
    </row>
    <row r="3">
      <c r="B3" s="6" t="inlineStr">
        <is>
          <t>Your Complete Financial Picture</t>
        </is>
      </c>
    </row>
    <row r="4">
      <c r="B4" s="7" t="inlineStr">
        <is>
          <t>Powered by Charge Wealth</t>
        </is>
      </c>
    </row>
    <row r="6">
      <c r="B6" s="3" t="inlineStr">
        <is>
          <t>NET WORTH SUMMARY</t>
        </is>
      </c>
    </row>
    <row r="8">
      <c r="B8" t="inlineStr">
        <is>
          <t>Total Assets</t>
        </is>
      </c>
      <c r="C8" s="8">
        <f>Assets!I40</f>
        <v/>
      </c>
    </row>
    <row r="9">
      <c r="B9" t="inlineStr">
        <is>
          <t>Total Liabilities</t>
        </is>
      </c>
      <c r="C9" s="9">
        <f>Liabilities!I35</f>
        <v/>
      </c>
    </row>
    <row r="10">
      <c r="B10" s="10" t="inlineStr">
        <is>
          <t>NET WORTH</t>
        </is>
      </c>
      <c r="C10" s="11">
        <f>C8-C9</f>
        <v/>
      </c>
    </row>
    <row r="13">
      <c r="B13" s="3" t="inlineStr">
        <is>
          <t>ASSET ALLOCATION</t>
        </is>
      </c>
    </row>
    <row r="15">
      <c r="B15" t="inlineStr">
        <is>
          <t>Cash &amp; Equivalents</t>
        </is>
      </c>
      <c r="C15" s="12">
        <f>Assets!I10</f>
        <v/>
      </c>
      <c r="D15" s="13">
        <f>IF($C$8&gt;0,C15/$C$8,0)</f>
        <v/>
      </c>
    </row>
    <row r="16">
      <c r="B16" t="inlineStr">
        <is>
          <t>Investments</t>
        </is>
      </c>
      <c r="C16" s="12">
        <f>Assets!I20</f>
        <v/>
      </c>
      <c r="D16" s="13">
        <f>IF($C$8&gt;0,C16/$C$8,0)</f>
        <v/>
      </c>
    </row>
    <row r="17">
      <c r="B17" t="inlineStr">
        <is>
          <t>Retirement Accounts</t>
        </is>
      </c>
      <c r="C17" s="12">
        <f>Assets!I28</f>
        <v/>
      </c>
      <c r="D17" s="13">
        <f>IF($C$8&gt;0,C17/$C$8,0)</f>
        <v/>
      </c>
    </row>
    <row r="18">
      <c r="B18" t="inlineStr">
        <is>
          <t>Real Estate</t>
        </is>
      </c>
      <c r="C18" s="12">
        <f>Assets!I33</f>
        <v/>
      </c>
      <c r="D18" s="13">
        <f>IF($C$8&gt;0,C18/$C$8,0)</f>
        <v/>
      </c>
    </row>
    <row r="19">
      <c r="B19" t="inlineStr">
        <is>
          <t>Other Assets</t>
        </is>
      </c>
      <c r="C19" s="12">
        <f>Assets!I38</f>
        <v/>
      </c>
      <c r="D19" s="13">
        <f>IF($C$8&gt;0,C19/$C$8,0)</f>
        <v/>
      </c>
    </row>
    <row r="22">
      <c r="B22" s="3" t="inlineStr">
        <is>
          <t>NET WORTH GOALS</t>
        </is>
      </c>
    </row>
    <row r="24">
      <c r="B24" s="14" t="inlineStr">
        <is>
          <t>Goal</t>
        </is>
      </c>
      <c r="C24" s="14" t="inlineStr">
        <is>
          <t>Target</t>
        </is>
      </c>
      <c r="D24" s="14" t="inlineStr">
        <is>
          <t>Current</t>
        </is>
      </c>
      <c r="E24" s="14" t="inlineStr">
        <is>
          <t>Progress</t>
        </is>
      </c>
    </row>
    <row r="25">
      <c r="B25" t="inlineStr">
        <is>
          <t>1-Year Goal</t>
        </is>
      </c>
      <c r="C25" s="12" t="n">
        <v>150000</v>
      </c>
      <c r="D25" s="12">
        <f>$C$10</f>
        <v/>
      </c>
      <c r="E25" s="15">
        <f>MIN(1,D25/C25)</f>
        <v/>
      </c>
    </row>
    <row r="26">
      <c r="B26" t="inlineStr">
        <is>
          <t>5-Year Goal</t>
        </is>
      </c>
      <c r="C26" s="12" t="n">
        <v>500000</v>
      </c>
      <c r="D26" s="12">
        <f>$C$10</f>
        <v/>
      </c>
      <c r="E26" s="15">
        <f>MIN(1,D26/C26)</f>
        <v/>
      </c>
    </row>
    <row r="27">
      <c r="B27" t="inlineStr">
        <is>
          <t>10-Year Goal</t>
        </is>
      </c>
      <c r="C27" s="12" t="n">
        <v>1500000</v>
      </c>
      <c r="D27" s="12">
        <f>$C$10</f>
        <v/>
      </c>
      <c r="E27" s="15">
        <f>MIN(1,D27/C27)</f>
        <v/>
      </c>
    </row>
    <row r="28">
      <c r="B28" t="inlineStr">
        <is>
          <t>Financial Independence</t>
        </is>
      </c>
      <c r="C28" s="12" t="n">
        <v>2000000</v>
      </c>
      <c r="D28" s="12">
        <f>$C$10</f>
        <v/>
      </c>
      <c r="E28" s="15">
        <f>MIN(1,D28/C28)</f>
        <v/>
      </c>
    </row>
  </sheetData>
  <mergeCells count="6">
    <mergeCell ref="B13:E13"/>
    <mergeCell ref="B6:E6"/>
    <mergeCell ref="B4:D4"/>
    <mergeCell ref="B2:H2"/>
    <mergeCell ref="B3:H3"/>
    <mergeCell ref="B22:E22"/>
  </mergeCells>
  <conditionalFormatting sqref="E25:E28">
    <cfRule type="dataBar" priority="1">
      <dataBar>
        <cfvo type="num" val="0"/>
        <cfvo type="num" val="1"/>
        <color rgb="00F5A62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Asset Tracker</t>
        </is>
      </c>
    </row>
    <row r="3">
      <c r="B3" s="6" t="inlineStr">
        <is>
          <t>Everything You Own</t>
        </is>
      </c>
    </row>
    <row r="4">
      <c r="B4" s="7" t="inlineStr">
        <is>
          <t>Powered by Charge Wealth</t>
        </is>
      </c>
    </row>
    <row r="6">
      <c r="B6" s="3" t="inlineStr">
        <is>
          <t>CASH &amp; EQUIVALENTS</t>
        </is>
      </c>
    </row>
    <row r="7">
      <c r="B7" s="14" t="inlineStr">
        <is>
          <t>Account</t>
        </is>
      </c>
      <c r="C7" s="14" t="inlineStr">
        <is>
          <t>Institution</t>
        </is>
      </c>
      <c r="D7" s="14" t="inlineStr">
        <is>
          <t>Balance</t>
        </is>
      </c>
      <c r="E7" s="14" t="inlineStr">
        <is>
          <t>Notes</t>
        </is>
      </c>
    </row>
    <row r="8">
      <c r="B8" t="inlineStr">
        <is>
          <t>Checking Account</t>
        </is>
      </c>
      <c r="C8" t="inlineStr">
        <is>
          <t>Chase</t>
        </is>
      </c>
      <c r="D8" s="16" t="n">
        <v>8500</v>
      </c>
    </row>
    <row r="9">
      <c r="B9" t="inlineStr">
        <is>
          <t>Savings Account</t>
        </is>
      </c>
      <c r="C9" t="inlineStr">
        <is>
          <t>Marcus</t>
        </is>
      </c>
      <c r="D9" s="16" t="n">
        <v>25000</v>
      </c>
    </row>
    <row r="10">
      <c r="B10" t="inlineStr">
        <is>
          <t>Money Market</t>
        </is>
      </c>
      <c r="C10" t="inlineStr">
        <is>
          <t>Fidelity</t>
        </is>
      </c>
      <c r="D10" s="16" t="n">
        <v>15000</v>
      </c>
      <c r="I10">
        <f>D15</f>
        <v/>
      </c>
    </row>
    <row r="11">
      <c r="B11" t="inlineStr">
        <is>
          <t>Emergency Fund</t>
        </is>
      </c>
      <c r="C11" t="inlineStr">
        <is>
          <t>Ally</t>
        </is>
      </c>
      <c r="D11" s="16" t="n">
        <v>30000</v>
      </c>
    </row>
    <row r="12">
      <c r="B12" s="17" t="n"/>
      <c r="C12" s="17" t="n"/>
      <c r="D12" s="17" t="n"/>
      <c r="E12" s="17" t="n"/>
    </row>
    <row r="13">
      <c r="B13" s="17" t="n"/>
      <c r="C13" s="17" t="n"/>
      <c r="D13" s="17" t="n"/>
      <c r="E13" s="17" t="n"/>
    </row>
    <row r="14">
      <c r="B14" s="17" t="n"/>
      <c r="C14" s="17" t="n"/>
      <c r="D14" s="17" t="n"/>
      <c r="E14" s="17" t="n"/>
    </row>
    <row r="15">
      <c r="B15" t="inlineStr">
        <is>
          <t>Cash Subtotal</t>
        </is>
      </c>
      <c r="D15" s="18">
        <f>SUM(D8:D14)</f>
        <v/>
      </c>
    </row>
    <row r="17">
      <c r="B17" s="3" t="inlineStr">
        <is>
          <t>INVESTMENTS (Taxable)</t>
        </is>
      </c>
    </row>
    <row r="18">
      <c r="B18" s="14" t="inlineStr">
        <is>
          <t>Account</t>
        </is>
      </c>
      <c r="C18" s="14" t="inlineStr">
        <is>
          <t>Institution</t>
        </is>
      </c>
      <c r="D18" s="14" t="inlineStr">
        <is>
          <t>Balance</t>
        </is>
      </c>
      <c r="E18" s="14" t="inlineStr">
        <is>
          <t>Notes</t>
        </is>
      </c>
    </row>
    <row r="19">
      <c r="B19" t="inlineStr">
        <is>
          <t>Brokerage Account</t>
        </is>
      </c>
      <c r="C19" t="inlineStr">
        <is>
          <t>Fidelity</t>
        </is>
      </c>
      <c r="D19" s="16" t="n">
        <v>85000</v>
      </c>
    </row>
    <row r="20">
      <c r="B20" t="inlineStr">
        <is>
          <t>Stock Holdings</t>
        </is>
      </c>
      <c r="C20" t="inlineStr">
        <is>
          <t>TD Ameritrade</t>
        </is>
      </c>
      <c r="D20" s="16" t="n">
        <v>25000</v>
      </c>
      <c r="I20">
        <f>D25</f>
        <v/>
      </c>
    </row>
    <row r="21">
      <c r="B21" t="inlineStr">
        <is>
          <t>Index Funds</t>
        </is>
      </c>
      <c r="C21" t="inlineStr">
        <is>
          <t>Vanguard</t>
        </is>
      </c>
      <c r="D21" s="16" t="n">
        <v>50000</v>
      </c>
    </row>
    <row r="22">
      <c r="B22" s="17" t="n"/>
      <c r="C22" s="17" t="n"/>
      <c r="D22" s="17" t="n"/>
      <c r="E22" s="17" t="n"/>
    </row>
    <row r="23">
      <c r="B23" s="17" t="n"/>
      <c r="C23" s="17" t="n"/>
      <c r="D23" s="17" t="n"/>
      <c r="E23" s="17" t="n"/>
    </row>
    <row r="24">
      <c r="B24" s="17" t="n"/>
      <c r="C24" s="17" t="n"/>
      <c r="D24" s="17" t="n"/>
      <c r="E24" s="17" t="n"/>
    </row>
    <row r="25">
      <c r="B25" t="inlineStr">
        <is>
          <t>Investment Subtotal</t>
        </is>
      </c>
      <c r="D25" s="18">
        <f>SUM(D19:D24)</f>
        <v/>
      </c>
    </row>
    <row r="27">
      <c r="B27" s="3" t="inlineStr">
        <is>
          <t>RETIREMENT ACCOUNTS</t>
        </is>
      </c>
    </row>
    <row r="28">
      <c r="B28" s="14" t="inlineStr">
        <is>
          <t>Account</t>
        </is>
      </c>
      <c r="C28" s="14" t="inlineStr">
        <is>
          <t>Institution</t>
        </is>
      </c>
      <c r="D28" s="14" t="inlineStr">
        <is>
          <t>Balance</t>
        </is>
      </c>
      <c r="E28" s="14" t="inlineStr">
        <is>
          <t>Notes</t>
        </is>
      </c>
      <c r="I28">
        <f>D33</f>
        <v/>
      </c>
    </row>
    <row r="29">
      <c r="B29" t="inlineStr">
        <is>
          <t>401(k)</t>
        </is>
      </c>
      <c r="C29" t="inlineStr">
        <is>
          <t>Employer Plan</t>
        </is>
      </c>
      <c r="D29" s="16" t="n">
        <v>125000</v>
      </c>
    </row>
    <row r="30">
      <c r="B30" t="inlineStr">
        <is>
          <t>Roth IRA</t>
        </is>
      </c>
      <c r="C30" t="inlineStr">
        <is>
          <t>Vanguard</t>
        </is>
      </c>
      <c r="D30" s="16" t="n">
        <v>45000</v>
      </c>
    </row>
    <row r="31">
      <c r="B31" t="inlineStr">
        <is>
          <t>Traditional IRA</t>
        </is>
      </c>
      <c r="C31" t="inlineStr">
        <is>
          <t>Fidelity</t>
        </is>
      </c>
      <c r="D31" s="16" t="n">
        <v>30000</v>
      </c>
    </row>
    <row r="32">
      <c r="B32" t="inlineStr">
        <is>
          <t>HSA</t>
        </is>
      </c>
      <c r="C32" t="inlineStr">
        <is>
          <t>HealthEquity</t>
        </is>
      </c>
      <c r="D32" s="16" t="n">
        <v>8000</v>
      </c>
    </row>
    <row r="33">
      <c r="B33" t="inlineStr">
        <is>
          <t>Retirement Subtotal</t>
        </is>
      </c>
      <c r="D33" s="18">
        <f>SUM(D29:D32)</f>
        <v/>
      </c>
      <c r="I33">
        <f>D38</f>
        <v/>
      </c>
    </row>
    <row r="35">
      <c r="B35" s="3" t="inlineStr">
        <is>
          <t>REAL ESTATE</t>
        </is>
      </c>
    </row>
    <row r="36">
      <c r="B36" t="inlineStr">
        <is>
          <t>Primary Residence</t>
        </is>
      </c>
      <c r="D36" s="16" t="n">
        <v>450000</v>
      </c>
    </row>
    <row r="37">
      <c r="B37" t="inlineStr">
        <is>
          <t>Rental Property</t>
        </is>
      </c>
      <c r="D37" s="16" t="n">
        <v>0</v>
      </c>
    </row>
    <row r="38">
      <c r="B38" t="inlineStr">
        <is>
          <t>Real Estate Subtotal</t>
        </is>
      </c>
      <c r="D38" s="18">
        <f>SUM(D36:D37)</f>
        <v/>
      </c>
      <c r="I38">
        <f>D43</f>
        <v/>
      </c>
    </row>
    <row r="40">
      <c r="B40" s="3" t="inlineStr">
        <is>
          <t>OTHER ASSETS</t>
        </is>
      </c>
      <c r="I40">
        <f>D45</f>
        <v/>
      </c>
    </row>
    <row r="41">
      <c r="B41" t="inlineStr">
        <is>
          <t>Vehicles</t>
        </is>
      </c>
      <c r="D41" s="16" t="n">
        <v>28000</v>
      </c>
    </row>
    <row r="42">
      <c r="B42" t="inlineStr">
        <is>
          <t>Other (Jewelry, Collectibles)</t>
        </is>
      </c>
      <c r="D42" s="16" t="n">
        <v>5000</v>
      </c>
    </row>
    <row r="43">
      <c r="B43" t="inlineStr">
        <is>
          <t>Other Subtotal</t>
        </is>
      </c>
      <c r="D43" s="18">
        <f>SUM(D41:D42)</f>
        <v/>
      </c>
    </row>
    <row r="45">
      <c r="B45" s="19" t="inlineStr">
        <is>
          <t>TOTAL ASSETS</t>
        </is>
      </c>
      <c r="D45" s="20">
        <f>I10+I20+I28+I33+I38</f>
        <v/>
      </c>
    </row>
  </sheetData>
  <mergeCells count="8">
    <mergeCell ref="B17:E17"/>
    <mergeCell ref="B27:E27"/>
    <mergeCell ref="B40:E40"/>
    <mergeCell ref="B35:E35"/>
    <mergeCell ref="B6:E6"/>
    <mergeCell ref="B4:D4"/>
    <mergeCell ref="B2:H2"/>
    <mergeCell ref="B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Liability Tracker</t>
        </is>
      </c>
    </row>
    <row r="3">
      <c r="B3" s="6" t="inlineStr">
        <is>
          <t>Everything You Owe</t>
        </is>
      </c>
    </row>
    <row r="4">
      <c r="B4" s="7" t="inlineStr">
        <is>
          <t>Powered by Charge Wealth</t>
        </is>
      </c>
    </row>
    <row r="6">
      <c r="B6" s="3" t="inlineStr">
        <is>
          <t>MORTGAGE</t>
        </is>
      </c>
    </row>
    <row r="7">
      <c r="B7" s="14" t="inlineStr">
        <is>
          <t>Property</t>
        </is>
      </c>
      <c r="C7" s="14" t="inlineStr">
        <is>
          <t>Lender</t>
        </is>
      </c>
      <c r="D7" s="14" t="inlineStr">
        <is>
          <t>Balance</t>
        </is>
      </c>
      <c r="E7" s="14" t="inlineStr">
        <is>
          <t>Rate</t>
        </is>
      </c>
      <c r="F7" s="14" t="inlineStr">
        <is>
          <t>Payment</t>
        </is>
      </c>
    </row>
    <row r="8">
      <c r="B8" t="inlineStr">
        <is>
          <t>Primary Residence</t>
        </is>
      </c>
      <c r="C8" t="inlineStr">
        <is>
          <t>Wells Fargo</t>
        </is>
      </c>
      <c r="D8" s="16" t="n">
        <v>320000</v>
      </c>
      <c r="E8" s="21" t="n">
        <v>0.0625</v>
      </c>
      <c r="F8" s="16" t="n">
        <v>2100</v>
      </c>
    </row>
    <row r="10">
      <c r="B10" s="3" t="inlineStr">
        <is>
          <t>AUTO LOANS</t>
        </is>
      </c>
    </row>
    <row r="11">
      <c r="B11" s="14" t="inlineStr">
        <is>
          <t>Vehicle</t>
        </is>
      </c>
      <c r="C11" s="14" t="inlineStr">
        <is>
          <t>Lender</t>
        </is>
      </c>
      <c r="D11" s="14" t="inlineStr">
        <is>
          <t>Balance</t>
        </is>
      </c>
      <c r="E11" s="14" t="inlineStr">
        <is>
          <t>Rate</t>
        </is>
      </c>
      <c r="F11" s="14" t="inlineStr">
        <is>
          <t>Payment</t>
        </is>
      </c>
    </row>
    <row r="12">
      <c r="B12" s="17" t="n"/>
      <c r="C12" s="17" t="n"/>
      <c r="D12" s="17" t="n"/>
      <c r="E12" s="17" t="n"/>
      <c r="F12" s="17" t="n"/>
    </row>
    <row r="13">
      <c r="B13" s="17" t="n"/>
      <c r="C13" s="17" t="n"/>
      <c r="D13" s="17" t="n"/>
      <c r="E13" s="17" t="n"/>
      <c r="F13" s="17" t="n"/>
    </row>
    <row r="14">
      <c r="B14" t="inlineStr">
        <is>
          <t>Auto Subtotal</t>
        </is>
      </c>
      <c r="D14" s="18">
        <f>SUM(D12:D13)</f>
        <v/>
      </c>
    </row>
    <row r="16">
      <c r="B16" s="3" t="inlineStr">
        <is>
          <t>STUDENT LOANS</t>
        </is>
      </c>
    </row>
    <row r="17">
      <c r="B17" s="14" t="inlineStr">
        <is>
          <t>Loan</t>
        </is>
      </c>
      <c r="C17" s="14" t="inlineStr">
        <is>
          <t>Servicer</t>
        </is>
      </c>
      <c r="D17" s="14" t="inlineStr">
        <is>
          <t>Balance</t>
        </is>
      </c>
      <c r="E17" s="14" t="inlineStr">
        <is>
          <t>Rate</t>
        </is>
      </c>
      <c r="F17" s="14" t="inlineStr">
        <is>
          <t>Payment</t>
        </is>
      </c>
    </row>
    <row r="18">
      <c r="B18" t="inlineStr">
        <is>
          <t>Federal Loans</t>
        </is>
      </c>
      <c r="C18" t="inlineStr">
        <is>
          <t>Nelnet</t>
        </is>
      </c>
      <c r="D18" s="16" t="n">
        <v>25000</v>
      </c>
      <c r="E18" s="21" t="n">
        <v>0.055</v>
      </c>
      <c r="F18" s="16" t="n">
        <v>280</v>
      </c>
    </row>
    <row r="19">
      <c r="B19" s="17" t="n"/>
      <c r="C19" s="17" t="n"/>
      <c r="D19" s="17" t="n"/>
      <c r="E19" s="17" t="n"/>
      <c r="F19" s="17" t="n"/>
    </row>
    <row r="20">
      <c r="B20" s="17" t="n"/>
      <c r="C20" s="17" t="n"/>
      <c r="D20" s="17" t="n"/>
      <c r="E20" s="17" t="n"/>
      <c r="F20" s="17" t="n"/>
    </row>
    <row r="21">
      <c r="B21" t="inlineStr">
        <is>
          <t>Student Loan Subtotal</t>
        </is>
      </c>
      <c r="D21" s="18">
        <f>SUM(D18:D20)</f>
        <v/>
      </c>
    </row>
    <row r="23">
      <c r="B23" s="3" t="inlineStr">
        <is>
          <t>CREDIT CARDS</t>
        </is>
      </c>
    </row>
    <row r="24">
      <c r="B24" s="14" t="inlineStr">
        <is>
          <t>Card</t>
        </is>
      </c>
      <c r="C24" s="14" t="inlineStr">
        <is>
          <t>Issuer</t>
        </is>
      </c>
      <c r="D24" s="14" t="inlineStr">
        <is>
          <t>Balance</t>
        </is>
      </c>
      <c r="E24" s="14" t="inlineStr">
        <is>
          <t>Rate</t>
        </is>
      </c>
      <c r="F24" s="14" t="inlineStr">
        <is>
          <t>Limit</t>
        </is>
      </c>
    </row>
    <row r="25">
      <c r="B25" s="17" t="n"/>
      <c r="C25" s="17" t="n"/>
      <c r="D25" s="17" t="n"/>
      <c r="E25" s="17" t="n"/>
      <c r="F25" s="17" t="n"/>
    </row>
    <row r="26">
      <c r="B26" s="17" t="n"/>
      <c r="C26" s="17" t="n"/>
      <c r="D26" s="17" t="n"/>
      <c r="E26" s="17" t="n"/>
      <c r="F26" s="17" t="n"/>
    </row>
    <row r="27">
      <c r="B27" s="17" t="n"/>
      <c r="C27" s="17" t="n"/>
      <c r="D27" s="17" t="n"/>
      <c r="E27" s="17" t="n"/>
      <c r="F27" s="17" t="n"/>
    </row>
    <row r="28">
      <c r="B28" t="inlineStr">
        <is>
          <t>Credit Card Subtotal</t>
        </is>
      </c>
      <c r="D28" s="18">
        <f>SUM(D25:D27)</f>
        <v/>
      </c>
    </row>
    <row r="30">
      <c r="B30" s="22" t="inlineStr">
        <is>
          <t>TOTAL LIABILITIES</t>
        </is>
      </c>
      <c r="D30" s="23">
        <f>D8+D14+D21+D28</f>
        <v/>
      </c>
    </row>
    <row r="35">
      <c r="I35">
        <f>D30</f>
        <v/>
      </c>
    </row>
  </sheetData>
  <mergeCells count="7">
    <mergeCell ref="B6:F6"/>
    <mergeCell ref="B16:F16"/>
    <mergeCell ref="B10:F10"/>
    <mergeCell ref="B4:D4"/>
    <mergeCell ref="B2:H2"/>
    <mergeCell ref="B23:F23"/>
    <mergeCell ref="B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Net Worth History</t>
        </is>
      </c>
    </row>
    <row r="3">
      <c r="B3" s="6" t="inlineStr">
        <is>
          <t>Track Your Progress Over Time</t>
        </is>
      </c>
    </row>
    <row r="4">
      <c r="B4" s="7" t="inlineStr">
        <is>
          <t>Powered by Charge Wealth</t>
        </is>
      </c>
    </row>
    <row r="6">
      <c r="B6" s="14" t="inlineStr">
        <is>
          <t>Date</t>
        </is>
      </c>
      <c r="C6" s="14" t="inlineStr">
        <is>
          <t>Assets</t>
        </is>
      </c>
      <c r="D6" s="14" t="inlineStr">
        <is>
          <t>Liabilities</t>
        </is>
      </c>
      <c r="E6" s="14" t="inlineStr">
        <is>
          <t>Net Worth</t>
        </is>
      </c>
      <c r="F6" s="14" t="inlineStr">
        <is>
          <t>Change</t>
        </is>
      </c>
      <c r="G6" s="14" t="inlineStr">
        <is>
          <t>% Change</t>
        </is>
      </c>
    </row>
    <row r="7">
      <c r="B7" t="inlineStr">
        <is>
          <t>Jan 2024</t>
        </is>
      </c>
      <c r="C7" s="12" t="n">
        <v>420000</v>
      </c>
      <c r="D7" s="12" t="n">
        <v>365000</v>
      </c>
      <c r="E7" s="12">
        <f>C7-D7</f>
        <v/>
      </c>
      <c r="F7" s="12" t="n">
        <v>0</v>
      </c>
      <c r="G7" s="13" t="n">
        <v>0</v>
      </c>
    </row>
    <row r="8">
      <c r="B8" t="inlineStr">
        <is>
          <t>Feb 2024</t>
        </is>
      </c>
      <c r="C8" s="12" t="n">
        <v>428000</v>
      </c>
      <c r="D8" s="12" t="n">
        <v>362000</v>
      </c>
      <c r="E8" s="12">
        <f>C8-D8</f>
        <v/>
      </c>
      <c r="F8" s="12">
        <f>E8-E7</f>
        <v/>
      </c>
      <c r="G8" s="13">
        <f>IF(E7&lt;&gt;0,F8/E7,0)</f>
        <v/>
      </c>
    </row>
    <row r="9">
      <c r="B9" t="inlineStr">
        <is>
          <t>Mar 2024</t>
        </is>
      </c>
      <c r="C9" s="12" t="n">
        <v>435000</v>
      </c>
      <c r="D9" s="12" t="n">
        <v>359000</v>
      </c>
      <c r="E9" s="12">
        <f>C9-D9</f>
        <v/>
      </c>
      <c r="F9" s="12">
        <f>E9-E8</f>
        <v/>
      </c>
      <c r="G9" s="13">
        <f>IF(E8&lt;&gt;0,F9/E8,0)</f>
        <v/>
      </c>
    </row>
    <row r="10">
      <c r="B10" t="inlineStr">
        <is>
          <t>Apr 2024</t>
        </is>
      </c>
      <c r="C10" s="12" t="n">
        <v>442000</v>
      </c>
      <c r="D10" s="12" t="n">
        <v>356000</v>
      </c>
      <c r="E10" s="12">
        <f>C10-D10</f>
        <v/>
      </c>
      <c r="F10" s="12">
        <f>E10-E9</f>
        <v/>
      </c>
      <c r="G10" s="13">
        <f>IF(E9&lt;&gt;0,F10/E9,0)</f>
        <v/>
      </c>
    </row>
    <row r="11">
      <c r="B11" t="inlineStr">
        <is>
          <t>May 2024</t>
        </is>
      </c>
      <c r="C11" s="12" t="n">
        <v>450000</v>
      </c>
      <c r="D11" s="12" t="n">
        <v>352000</v>
      </c>
      <c r="E11" s="12">
        <f>C11-D11</f>
        <v/>
      </c>
      <c r="F11" s="12">
        <f>E11-E10</f>
        <v/>
      </c>
      <c r="G11" s="13">
        <f>IF(E10&lt;&gt;0,F11/E10,0)</f>
        <v/>
      </c>
    </row>
    <row r="12">
      <c r="B12" t="inlineStr">
        <is>
          <t>Jun 2024</t>
        </is>
      </c>
      <c r="C12" s="12" t="n">
        <v>460000</v>
      </c>
      <c r="D12" s="12" t="n">
        <v>348000</v>
      </c>
      <c r="E12" s="12">
        <f>C12-D12</f>
        <v/>
      </c>
      <c r="F12" s="12">
        <f>E12-E11</f>
        <v/>
      </c>
      <c r="G12" s="13">
        <f>IF(E11&lt;&gt;0,F12/E11,0)</f>
        <v/>
      </c>
    </row>
    <row r="13">
      <c r="B13" s="17" t="n"/>
      <c r="C13" s="17" t="n"/>
      <c r="D13" s="17" t="n"/>
      <c r="E13" s="17">
        <f>IF(C13="","",C13-D13)</f>
        <v/>
      </c>
      <c r="F13" s="17">
        <f>IF(E13="","",E13-E12)</f>
        <v/>
      </c>
      <c r="G13" s="17">
        <f>IF(OR(E13="",E12=0),"",F13/E12)</f>
        <v/>
      </c>
    </row>
    <row r="14">
      <c r="B14" s="17" t="n"/>
      <c r="C14" s="17" t="n"/>
      <c r="D14" s="17" t="n"/>
      <c r="E14" s="17">
        <f>IF(C14="","",C14-D14)</f>
        <v/>
      </c>
      <c r="F14" s="17">
        <f>IF(E14="","",E14-E13)</f>
        <v/>
      </c>
      <c r="G14" s="17">
        <f>IF(OR(E14="",E13=0),"",F14/E13)</f>
        <v/>
      </c>
    </row>
    <row r="15">
      <c r="B15" s="17" t="n"/>
      <c r="C15" s="17" t="n"/>
      <c r="D15" s="17" t="n"/>
      <c r="E15" s="17">
        <f>IF(C15="","",C15-D15)</f>
        <v/>
      </c>
      <c r="F15" s="17">
        <f>IF(E15="","",E15-E14)</f>
        <v/>
      </c>
      <c r="G15" s="17">
        <f>IF(OR(E15="",E14=0),"",F15/E14)</f>
        <v/>
      </c>
    </row>
    <row r="16">
      <c r="B16" s="17" t="n"/>
      <c r="C16" s="17" t="n"/>
      <c r="D16" s="17" t="n"/>
      <c r="E16" s="17">
        <f>IF(C16="","",C16-D16)</f>
        <v/>
      </c>
      <c r="F16" s="17">
        <f>IF(E16="","",E16-E15)</f>
        <v/>
      </c>
      <c r="G16" s="17">
        <f>IF(OR(E16="",E15=0),"",F16/E15)</f>
        <v/>
      </c>
    </row>
    <row r="17">
      <c r="B17" s="17" t="n"/>
      <c r="C17" s="17" t="n"/>
      <c r="D17" s="17" t="n"/>
      <c r="E17" s="17">
        <f>IF(C17="","",C17-D17)</f>
        <v/>
      </c>
      <c r="F17" s="17">
        <f>IF(E17="","",E17-E16)</f>
        <v/>
      </c>
      <c r="G17" s="17">
        <f>IF(OR(E17="",E16=0),"",F17/E16)</f>
        <v/>
      </c>
    </row>
    <row r="18">
      <c r="B18" s="17" t="n"/>
      <c r="C18" s="17" t="n"/>
      <c r="D18" s="17" t="n"/>
      <c r="E18" s="17">
        <f>IF(C18="","",C18-D18)</f>
        <v/>
      </c>
      <c r="F18" s="17">
        <f>IF(E18="","",E18-E17)</f>
        <v/>
      </c>
      <c r="G18" s="17">
        <f>IF(OR(E18="",E17=0),"",F18/E17)</f>
        <v/>
      </c>
    </row>
    <row r="19">
      <c r="B19" s="17" t="n"/>
      <c r="C19" s="17" t="n"/>
      <c r="D19" s="17" t="n"/>
      <c r="E19" s="17">
        <f>IF(C19="","",C19-D19)</f>
        <v/>
      </c>
      <c r="F19" s="17">
        <f>IF(E19="","",E19-E18)</f>
        <v/>
      </c>
      <c r="G19" s="17">
        <f>IF(OR(E19="",E18=0),"",F19/E18)</f>
        <v/>
      </c>
    </row>
    <row r="20">
      <c r="B20" s="17" t="n"/>
      <c r="C20" s="17" t="n"/>
      <c r="D20" s="17" t="n"/>
      <c r="E20" s="17">
        <f>IF(C20="","",C20-D20)</f>
        <v/>
      </c>
      <c r="F20" s="17">
        <f>IF(E20="","",E20-E19)</f>
        <v/>
      </c>
      <c r="G20" s="17">
        <f>IF(OR(E20="",E19=0),"",F20/E19)</f>
        <v/>
      </c>
    </row>
    <row r="21">
      <c r="B21" s="17" t="n"/>
      <c r="C21" s="17" t="n"/>
      <c r="D21" s="17" t="n"/>
      <c r="E21" s="17">
        <f>IF(C21="","",C21-D21)</f>
        <v/>
      </c>
      <c r="F21" s="17">
        <f>IF(E21="","",E21-E20)</f>
        <v/>
      </c>
      <c r="G21" s="17">
        <f>IF(OR(E21="",E20=0),"",F21/E20)</f>
        <v/>
      </c>
    </row>
    <row r="22">
      <c r="B22" s="17" t="n"/>
      <c r="C22" s="17" t="n"/>
      <c r="D22" s="17" t="n"/>
      <c r="E22" s="17">
        <f>IF(C22="","",C22-D22)</f>
        <v/>
      </c>
      <c r="F22" s="17">
        <f>IF(E22="","",E22-E21)</f>
        <v/>
      </c>
      <c r="G22" s="17">
        <f>IF(OR(E22="",E21=0),"",F22/E21)</f>
        <v/>
      </c>
    </row>
    <row r="23">
      <c r="B23" s="17" t="n"/>
      <c r="C23" s="17" t="n"/>
      <c r="D23" s="17" t="n"/>
      <c r="E23" s="17">
        <f>IF(C23="","",C23-D23)</f>
        <v/>
      </c>
      <c r="F23" s="17">
        <f>IF(E23="","",E23-E22)</f>
        <v/>
      </c>
      <c r="G23" s="17">
        <f>IF(OR(E23="",E22=0),"",F23/E22)</f>
        <v/>
      </c>
    </row>
    <row r="24">
      <c r="B24" s="17" t="n"/>
      <c r="C24" s="17" t="n"/>
      <c r="D24" s="17" t="n"/>
      <c r="E24" s="17">
        <f>IF(C24="","",C24-D24)</f>
        <v/>
      </c>
      <c r="F24" s="17">
        <f>IF(E24="","",E24-E23)</f>
        <v/>
      </c>
      <c r="G24" s="17">
        <f>IF(OR(E24="",E23=0),"",F24/E23)</f>
        <v/>
      </c>
    </row>
  </sheetData>
  <mergeCells count="3">
    <mergeCell ref="B3:H3"/>
    <mergeCell ref="B2:H2"/>
    <mergeCell ref="B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2026-01-30T13:36:33+00:00Z</dcterms:created>
  <dcterms:modified xmlns:dcterms="http://purl.org/dc/terms/" xmlns:xsi="http://www.w3.org/2001/XMLSchema-instance" xsi:type="dcterms:W3CDTF">2026-01-30T13:36:33+00:00Z</dcterms:modified>
</cp:coreProperties>
</file>