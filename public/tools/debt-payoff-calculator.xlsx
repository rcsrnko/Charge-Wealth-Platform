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 Payoff Calculator" state="visible" r:id="rId4"/>
    <sheet sheetId="2" name="Payoff Schedule" state="visible" r:id="rId5"/>
  </sheets>
  <calcPr calcId="171027"/>
</workbook>
</file>

<file path=xl/sharedStrings.xml><?xml version="1.0" encoding="utf-8"?>
<sst xmlns="http://schemas.openxmlformats.org/spreadsheetml/2006/main" count="38" uniqueCount="36">
  <si>
    <t>Debt Payoff Calculator - Avalanche vs Snowball</t>
  </si>
  <si>
    <t>Enter your debts below. Yellow cells are for your input.</t>
  </si>
  <si>
    <t>Extra Monthly Payment:</t>
  </si>
  <si>
    <t>Debt Name</t>
  </si>
  <si>
    <t>Balance</t>
  </si>
  <si>
    <t>APR %</t>
  </si>
  <si>
    <t>Min Payment</t>
  </si>
  <si>
    <t>Avalanche Order</t>
  </si>
  <si>
    <t>Snowball Order</t>
  </si>
  <si>
    <t>Monthly Interest</t>
  </si>
  <si>
    <t>Payoff Priority</t>
  </si>
  <si>
    <t>Credit Card 1</t>
  </si>
  <si>
    <t>Credit Card 2</t>
  </si>
  <si>
    <t>Auto Loan</t>
  </si>
  <si>
    <t>Student Loan</t>
  </si>
  <si>
    <t>Personal Loan</t>
  </si>
  <si>
    <t>TOTALS</t>
  </si>
  <si>
    <t/>
  </si>
  <si>
    <t>STRATEGY COMPARISON</t>
  </si>
  <si>
    <t>Method</t>
  </si>
  <si>
    <t>Description</t>
  </si>
  <si>
    <t>Best For</t>
  </si>
  <si>
    <t>Avalanche</t>
  </si>
  <si>
    <t>Pay highest interest rate first</t>
  </si>
  <si>
    <t>Saving the most money</t>
  </si>
  <si>
    <t>Snowball</t>
  </si>
  <si>
    <t>Pay smallest balance first</t>
  </si>
  <si>
    <t>Quick wins &amp; motivation</t>
  </si>
  <si>
    <t>KEY INSIGHT:</t>
  </si>
  <si>
    <t>The Avalanche method saves more in interest, but the Snowball method provides psychological wins. Choose based on your personality!</t>
  </si>
  <si>
    <t>Sample Payoff Schedule</t>
  </si>
  <si>
    <t>Month</t>
  </si>
  <si>
    <t>Payment</t>
  </si>
  <si>
    <t>Principal</t>
  </si>
  <si>
    <t>Interest</t>
  </si>
  <si>
    <t>Remaining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</si>
</sst>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0.00&quot;%&quot;"/>
    <numFmt numFmtId="166" formatCode="&quot;$&quot;#,##0.00"/>
  </numFmts>
  <fonts count="8" x14ac:knownFonts="1">
    <font>
      <color theme="1"/>
      <family val="2"/>
      <scheme val="minor"/>
      <sz val="11"/>
      <name val="Calibri"/>
    </font>
    <font>
      <b/>
      <color rgb="FFC9A962"/>
      <sz val="20"/>
    </font>
    <font>
      <i/>
      <color rgb="FF6B7280"/>
    </font>
    <font>
      <b/>
    </font>
    <font>
      <b/>
      <color rgb="FFFFFFFF"/>
      <sz val="12"/>
    </font>
    <font>
      <b/>
      <color rgb="FFC9A962"/>
      <sz val="14"/>
    </font>
    <font>
      <i/>
    </font>
    <font>
      <b/>
      <sz val="16"/>
    </font>
  </fonts>
  <fills count="5">
    <fill>
      <patternFill patternType="none"/>
    </fill>
    <fill>
      <patternFill patternType="gray125"/>
    </fill>
    <fill>
      <patternFill patternType="solid">
        <fgColor rgb="FFFFF9E6"/>
      </patternFill>
    </fill>
    <fill>
      <patternFill patternType="solid">
        <fgColor rgb="FF242B38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C9A962"/>
      </left>
      <right style="thin">
        <color rgb="FFC9A962"/>
      </right>
      <top style="thin">
        <color rgb="FFC9A962"/>
      </top>
      <bottom style="thin">
        <color rgb="FFC9A962"/>
      </bottom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0" fillId="2" borderId="1" xfId="0" applyNumberFormat="1" applyFill="1" applyBorder="1"/>
    <xf numFmtId="0" fontId="4" fillId="3" borderId="0" xfId="0" applyFont="1" applyFill="1" applyAlignment="1">
      <alignment horizontal="center" vertical="center"/>
    </xf>
    <xf numFmtId="0" fontId="0" fillId="2" borderId="1" xfId="0" applyFill="1" applyBorder="1"/>
    <xf numFmtId="165" fontId="0" fillId="2" borderId="1" xfId="0" applyNumberFormat="1" applyFill="1" applyBorder="1"/>
    <xf numFmtId="0" fontId="0" fillId="4" borderId="2" xfId="0" applyFill="1" applyBorder="1"/>
    <xf numFmtId="166" fontId="0" fillId="4" borderId="2" xfId="0" applyNumberFormat="1" applyFill="1" applyBorder="1"/>
    <xf numFmtId="164" fontId="3" fillId="4" borderId="2" xfId="0" applyNumberFormat="1" applyFont="1" applyFill="1" applyBorder="1"/>
    <xf numFmtId="166" fontId="3" fillId="4" borderId="2" xfId="0" applyNumberFormat="1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20" customWidth="1"/>
    <col min="2" max="2" width="15" customWidth="1"/>
    <col min="3" max="3" width="12" customWidth="1"/>
    <col min="4" max="4" width="15" customWidth="1"/>
    <col min="5" max="6" width="18" customWidth="1"/>
    <col min="7" max="8" width="15" customWidth="1"/>
  </cols>
  <sheetData>
    <row r="1" ht="35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2" x14ac:dyDescent="0.25">
      <c r="A4" s="3" t="s">
        <v>2</v>
      </c>
      <c r="B4" s="4">
        <v>200</v>
      </c>
    </row>
    <row r="6" ht="25" customHeight="1" spans="1:8" s="5" customFormat="1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</row>
    <row r="7" spans="1:7" x14ac:dyDescent="0.25">
      <c r="A7" s="6" t="s">
        <v>11</v>
      </c>
      <c r="B7" s="4">
        <v>5000</v>
      </c>
      <c r="C7" s="7">
        <v>22.99</v>
      </c>
      <c r="D7" s="4">
        <v>150</v>
      </c>
      <c r="E7" s="8">
        <f>RANK(C7,C$7:C$11,0)</f>
      </c>
      <c r="F7" s="8">
        <f>RANK(B7,B$7:B$11,1)</f>
      </c>
      <c r="G7" s="9">
        <f>B7*(C7/100)/12</f>
      </c>
    </row>
    <row r="8" spans="1:7" x14ac:dyDescent="0.25">
      <c r="A8" s="6" t="s">
        <v>12</v>
      </c>
      <c r="B8" s="4">
        <v>3000</v>
      </c>
      <c r="C8" s="7">
        <v>18.99</v>
      </c>
      <c r="D8" s="4">
        <v>90</v>
      </c>
      <c r="E8" s="8">
        <f>RANK(C8,C$7:C$11,0)</f>
      </c>
      <c r="F8" s="8">
        <f>RANK(B8,B$7:B$11,1)</f>
      </c>
      <c r="G8" s="9">
        <f>B8*(C8/100)/12</f>
      </c>
    </row>
    <row r="9" spans="1:7" x14ac:dyDescent="0.25">
      <c r="A9" s="6" t="s">
        <v>13</v>
      </c>
      <c r="B9" s="4">
        <v>15000</v>
      </c>
      <c r="C9" s="7">
        <v>6.5</v>
      </c>
      <c r="D9" s="4">
        <v>350</v>
      </c>
      <c r="E9" s="8">
        <f>RANK(C9,C$7:C$11,0)</f>
      </c>
      <c r="F9" s="8">
        <f>RANK(B9,B$7:B$11,1)</f>
      </c>
      <c r="G9" s="9">
        <f>B9*(C9/100)/12</f>
      </c>
    </row>
    <row r="10" spans="1:7" x14ac:dyDescent="0.25">
      <c r="A10" s="6" t="s">
        <v>14</v>
      </c>
      <c r="B10" s="4">
        <v>25000</v>
      </c>
      <c r="C10" s="7">
        <v>5.5</v>
      </c>
      <c r="D10" s="4">
        <v>280</v>
      </c>
      <c r="E10" s="8">
        <f>RANK(C10,C$7:C$11,0)</f>
      </c>
      <c r="F10" s="8">
        <f>RANK(B10,B$7:B$11,1)</f>
      </c>
      <c r="G10" s="9">
        <f>B10*(C10/100)/12</f>
      </c>
    </row>
    <row r="11" spans="1:7" x14ac:dyDescent="0.25">
      <c r="A11" s="6" t="s">
        <v>15</v>
      </c>
      <c r="B11" s="4">
        <v>8000</v>
      </c>
      <c r="C11" s="7">
        <v>12</v>
      </c>
      <c r="D11" s="4">
        <v>200</v>
      </c>
      <c r="E11" s="8">
        <f>RANK(C11,C$7:C$11,0)</f>
      </c>
      <c r="F11" s="8">
        <f>RANK(B11,B$7:B$11,1)</f>
      </c>
      <c r="G11" s="9">
        <f>B11*(C11/100)/12</f>
      </c>
    </row>
    <row r="13" spans="1:7" x14ac:dyDescent="0.25">
      <c r="A13" s="3" t="s">
        <v>16</v>
      </c>
      <c r="B13" s="10">
        <f>SUM(B7:B11)</f>
      </c>
      <c r="C13" t="s">
        <v>17</v>
      </c>
      <c r="D13" s="10">
        <f>SUM(D7:D11)</f>
      </c>
      <c r="E13" t="s">
        <v>17</v>
      </c>
      <c r="F13" t="s">
        <v>17</v>
      </c>
      <c r="G13" s="11">
        <f>SUM(G7:G11)</f>
      </c>
    </row>
    <row r="16" spans="1:4" x14ac:dyDescent="0.25">
      <c r="A16" s="12" t="s">
        <v>18</v>
      </c>
      <c r="B16" s="12"/>
      <c r="C16" s="12"/>
      <c r="D16" s="12"/>
    </row>
    <row r="18" ht="25" customHeight="1" spans="1:3" s="5" customFormat="1" x14ac:dyDescent="0.25">
      <c r="A18" s="5" t="s">
        <v>19</v>
      </c>
      <c r="B18" s="5" t="s">
        <v>20</v>
      </c>
      <c r="C18" s="5" t="s">
        <v>21</v>
      </c>
    </row>
    <row r="19" spans="1:3" x14ac:dyDescent="0.25">
      <c r="A19" t="s">
        <v>22</v>
      </c>
      <c r="B19" t="s">
        <v>23</v>
      </c>
      <c r="C19" t="s">
        <v>24</v>
      </c>
    </row>
    <row r="20" spans="1:3" x14ac:dyDescent="0.25">
      <c r="A20" t="s">
        <v>25</v>
      </c>
      <c r="B20" t="s">
        <v>26</v>
      </c>
      <c r="C20" t="s">
        <v>27</v>
      </c>
    </row>
    <row r="22" spans="1:1" x14ac:dyDescent="0.25">
      <c r="A22" s="3" t="s">
        <v>28</v>
      </c>
    </row>
    <row r="23" spans="1:8" x14ac:dyDescent="0.25">
      <c r="A23" s="13" t="s">
        <v>29</v>
      </c>
      <c r="B23" s="13"/>
      <c r="C23" s="13"/>
      <c r="D23" s="13"/>
      <c r="E23" s="13"/>
      <c r="F23" s="13"/>
      <c r="G23" s="13"/>
      <c r="H23" s="13"/>
    </row>
  </sheetData>
  <mergeCells count="4">
    <mergeCell ref="A1:H1"/>
    <mergeCell ref="A2:H2"/>
    <mergeCell ref="A16:D16"/>
    <mergeCell ref="A23:H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10" customWidth="1"/>
    <col min="2" max="4" width="15" customWidth="1"/>
    <col min="5" max="5" width="20" customWidth="1"/>
  </cols>
  <sheetData>
    <row r="1" spans="1:1" x14ac:dyDescent="0.25">
      <c r="A1" s="14" t="s">
        <v>30</v>
      </c>
    </row>
    <row r="3" ht="25" customHeight="1" spans="1:5" s="5" customFormat="1" x14ac:dyDescent="0.25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</row>
    <row r="4" spans="1:5" x14ac:dyDescent="0.25">
      <c r="A4">
        <v>1</v>
      </c>
      <c r="B4" s="15">
        <v>350</v>
      </c>
      <c r="C4" s="15">
        <v>254.20833333333334</v>
      </c>
      <c r="D4" s="15">
        <v>95.79166666666666</v>
      </c>
      <c r="E4" s="15">
        <v>4745.791666666667</v>
      </c>
    </row>
    <row r="5" spans="1:5" x14ac:dyDescent="0.25">
      <c r="A5">
        <v>2</v>
      </c>
      <c r="B5" s="15">
        <v>350</v>
      </c>
      <c r="C5" s="15">
        <v>259.0785413194444</v>
      </c>
      <c r="D5" s="15">
        <v>90.92145868055556</v>
      </c>
      <c r="E5" s="15">
        <v>4486.713125347223</v>
      </c>
    </row>
    <row r="6" spans="1:5" x14ac:dyDescent="0.25">
      <c r="A6">
        <v>3</v>
      </c>
      <c r="B6" s="15">
        <v>350</v>
      </c>
      <c r="C6" s="15">
        <v>264.04205437355614</v>
      </c>
      <c r="D6" s="15">
        <v>85.95794562644387</v>
      </c>
      <c r="E6" s="15">
        <v>4222.671070973666</v>
      </c>
    </row>
    <row r="7" spans="1:5" x14ac:dyDescent="0.25">
      <c r="A7">
        <v>4</v>
      </c>
      <c r="B7" s="15">
        <v>350</v>
      </c>
      <c r="C7" s="15">
        <v>269.10066006526284</v>
      </c>
      <c r="D7" s="15">
        <v>80.89933993473716</v>
      </c>
      <c r="E7" s="15">
        <v>3953.5704109084036</v>
      </c>
    </row>
    <row r="8" spans="1:5" x14ac:dyDescent="0.25">
      <c r="A8">
        <v>5</v>
      </c>
      <c r="B8" s="15">
        <v>350</v>
      </c>
      <c r="C8" s="15">
        <v>274.2561802110132</v>
      </c>
      <c r="D8" s="15">
        <v>75.74381978898683</v>
      </c>
      <c r="E8" s="15">
        <v>3679.3142306973905</v>
      </c>
    </row>
    <row r="9" spans="1:5" x14ac:dyDescent="0.25">
      <c r="A9">
        <v>6</v>
      </c>
      <c r="B9" s="15">
        <v>350</v>
      </c>
      <c r="C9" s="15">
        <v>279.5104715302225</v>
      </c>
      <c r="D9" s="15">
        <v>70.48952846977751</v>
      </c>
      <c r="E9" s="15">
        <v>3399.803759167168</v>
      </c>
    </row>
    <row r="10" spans="1:5" x14ac:dyDescent="0.25">
      <c r="A10">
        <v>7</v>
      </c>
      <c r="B10" s="15">
        <v>350</v>
      </c>
      <c r="C10" s="15">
        <v>284.86542631395565</v>
      </c>
      <c r="D10" s="15">
        <v>65.13457368604433</v>
      </c>
      <c r="E10" s="15">
        <v>3114.9383328532126</v>
      </c>
    </row>
    <row r="11" spans="1:5" x14ac:dyDescent="0.25">
      <c r="A11">
        <v>8</v>
      </c>
      <c r="B11" s="15">
        <v>350</v>
      </c>
      <c r="C11" s="15">
        <v>290.32297310642053</v>
      </c>
      <c r="D11" s="15">
        <v>59.677026893579466</v>
      </c>
      <c r="E11" s="15">
        <v>2824.615359746792</v>
      </c>
    </row>
    <row r="12" spans="1:5" x14ac:dyDescent="0.25">
      <c r="A12">
        <v>9</v>
      </c>
      <c r="B12" s="15">
        <v>350</v>
      </c>
      <c r="C12" s="15">
        <v>295.88507739951774</v>
      </c>
      <c r="D12" s="15">
        <v>54.11492260048229</v>
      </c>
      <c r="E12" s="15">
        <v>2528.730282347274</v>
      </c>
    </row>
    <row r="13" spans="1:5" x14ac:dyDescent="0.25">
      <c r="A13">
        <v>10</v>
      </c>
      <c r="B13" s="15">
        <v>350</v>
      </c>
      <c r="C13" s="15">
        <v>301.55374234069683</v>
      </c>
      <c r="D13" s="15">
        <v>48.44625765930319</v>
      </c>
      <c r="E13" s="15">
        <v>2227.1765400065774</v>
      </c>
    </row>
    <row r="14" spans="1:5" x14ac:dyDescent="0.25">
      <c r="A14">
        <v>11</v>
      </c>
      <c r="B14" s="15">
        <v>350</v>
      </c>
      <c r="C14" s="15">
        <v>307.331009454374</v>
      </c>
      <c r="D14" s="15">
        <v>42.66899054562601</v>
      </c>
      <c r="E14" s="15">
        <v>1919.8455305522034</v>
      </c>
    </row>
    <row r="15" spans="1:5" x14ac:dyDescent="0.25">
      <c r="A15">
        <v>12</v>
      </c>
      <c r="B15" s="15">
        <v>350</v>
      </c>
      <c r="C15" s="15">
        <v>313.2189593771707</v>
      </c>
      <c r="D15" s="15">
        <v>36.781040622829295</v>
      </c>
      <c r="E15" s="15">
        <v>1606.6265711750327</v>
      </c>
    </row>
    <row r="16" spans="1:5" x14ac:dyDescent="0.25">
      <c r="A16">
        <v>13</v>
      </c>
      <c r="B16" s="15">
        <v>350</v>
      </c>
      <c r="C16" s="15">
        <v>319.2197126072383</v>
      </c>
      <c r="D16" s="15">
        <v>30.780287392761668</v>
      </c>
      <c r="E16" s="15">
        <v>1287.4068585677944</v>
      </c>
    </row>
    <row r="17" spans="1:5" x14ac:dyDescent="0.25">
      <c r="A17">
        <v>14</v>
      </c>
      <c r="B17" s="15">
        <v>350</v>
      </c>
      <c r="C17" s="15">
        <v>325.33543026793865</v>
      </c>
      <c r="D17" s="15">
        <v>24.664569732061327</v>
      </c>
      <c r="E17" s="15">
        <v>962.0714282998558</v>
      </c>
    </row>
    <row r="18" spans="1:5" x14ac:dyDescent="0.25">
      <c r="A18">
        <v>15</v>
      </c>
      <c r="B18" s="15">
        <v>350</v>
      </c>
      <c r="C18" s="15">
        <v>331.56831488615524</v>
      </c>
      <c r="D18" s="15">
        <v>18.431685113844736</v>
      </c>
      <c r="E18" s="15">
        <v>630.5031134137006</v>
      </c>
    </row>
    <row r="19" spans="1:5" x14ac:dyDescent="0.25">
      <c r="A19">
        <v>16</v>
      </c>
      <c r="B19" s="15">
        <v>350</v>
      </c>
      <c r="C19" s="15">
        <v>337.92061118551584</v>
      </c>
      <c r="D19" s="15">
        <v>12.079388814484147</v>
      </c>
      <c r="E19" s="15">
        <v>292.58250222818475</v>
      </c>
    </row>
    <row r="20" spans="1:5" x14ac:dyDescent="0.25">
      <c r="A20">
        <v>17</v>
      </c>
      <c r="B20" s="15">
        <v>298.18789533337304</v>
      </c>
      <c r="C20" s="15">
        <v>292.58250222818475</v>
      </c>
      <c r="D20" s="15">
        <v>5.605393105188306</v>
      </c>
      <c r="E20" s="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Debt Payoff Calculator</vt:lpstr>
      <vt:lpstr>Payoff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Charge Wealth</dc:creator>
  <dc:title/>
  <dc:subject/>
  <dc:description/>
  <cp:keywords/>
  <cp:category/>
  <cp:lastModifiedBy>Unknown</cp:lastModifiedBy>
  <dcterms:created xsi:type="dcterms:W3CDTF">2026-01-30T13:01:14Z</dcterms:created>
  <dcterms:modified xsi:type="dcterms:W3CDTF">2026-01-30T13:01:14Z</dcterms:modified>
</cp:coreProperties>
</file>