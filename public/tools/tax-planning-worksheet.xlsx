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rterly Taxes" state="visible" r:id="rId4"/>
    <sheet sheetId="2" name="Deduction Tracker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3" authorId="0">
      <text>
        <r>
          <t>Options: Single, Married Filing Jointly, Head of Household</t>
        </r>
      </text>
    </comment>
    <comment ref="B20" authorId="0">
      <text>
        <r>
          <t>Simplified estimate. Actual brackets vary.</t>
        </r>
      </text>
    </comment>
  </commentList>
</comments>
</file>

<file path=xl/sharedStrings.xml><?xml version="1.0" encoding="utf-8"?>
<sst xmlns="http://schemas.openxmlformats.org/spreadsheetml/2006/main" count="70" uniqueCount="70">
  <si>
    <t>Quarterly Estimated Tax Calculator</t>
  </si>
  <si>
    <t/>
  </si>
  <si>
    <t>ANNUAL INCOME ESTIMATE</t>
  </si>
  <si>
    <t>Income Source</t>
  </si>
  <si>
    <t>Annual Amount</t>
  </si>
  <si>
    <t>W-2 Wages (after withholding)</t>
  </si>
  <si>
    <t>Self-Employment Income</t>
  </si>
  <si>
    <t>Investment Income (dividends, capital gains)</t>
  </si>
  <si>
    <t>Rental Income</t>
  </si>
  <si>
    <t>Other Taxable Income</t>
  </si>
  <si>
    <t>Total Estimated Income</t>
  </si>
  <si>
    <t>DEDUCTIONS</t>
  </si>
  <si>
    <t>Filing Status:</t>
  </si>
  <si>
    <t>Single</t>
  </si>
  <si>
    <t>Standard Deduction (2024)</t>
  </si>
  <si>
    <t>OR Itemized Deductions:</t>
  </si>
  <si>
    <t>Deduction Used</t>
  </si>
  <si>
    <t>TAX CALCULATION</t>
  </si>
  <si>
    <t>Taxable Income</t>
  </si>
  <si>
    <t>Estimated Federal Tax (approx 22%)</t>
  </si>
  <si>
    <t>State Tax Rate:</t>
  </si>
  <si>
    <t>Estimated State Tax</t>
  </si>
  <si>
    <t>Self-Employment Tax (15.3%)</t>
  </si>
  <si>
    <t>TOTAL ANNUAL TAX</t>
  </si>
  <si>
    <t>QUARTERLY PAYMENT SCHEDULE</t>
  </si>
  <si>
    <t>Quarter</t>
  </si>
  <si>
    <t>Due Date</t>
  </si>
  <si>
    <t>Payment Amount</t>
  </si>
  <si>
    <t>Q1 (Jan-Mar)</t>
  </si>
  <si>
    <t>April 15</t>
  </si>
  <si>
    <t>Q2 (Apr-May)</t>
  </si>
  <si>
    <t>June 15</t>
  </si>
  <si>
    <t>Q3 (Jun-Aug)</t>
  </si>
  <si>
    <t>September 15</t>
  </si>
  <si>
    <t>Q4 (Sep-Dec)</t>
  </si>
  <si>
    <t>January 15 (next year)</t>
  </si>
  <si>
    <t>Tax Deduction Tracker</t>
  </si>
  <si>
    <t>Deduction Category</t>
  </si>
  <si>
    <t>Amount</t>
  </si>
  <si>
    <t>Notes/Documentation</t>
  </si>
  <si>
    <t>ITEMIZED DEDUCTIONS</t>
  </si>
  <si>
    <t>Medical Expenses (&gt;7.5% AGI)</t>
  </si>
  <si>
    <t>Keep all receipts</t>
  </si>
  <si>
    <t>State &amp; Local Taxes (SALT, max $10k)</t>
  </si>
  <si>
    <t>Property tax + state income tax</t>
  </si>
  <si>
    <t>Mortgage Interest</t>
  </si>
  <si>
    <t>Form 1098 from lender</t>
  </si>
  <si>
    <t>Charitable Donations</t>
  </si>
  <si>
    <t>Receipts for donations &gt;$250</t>
  </si>
  <si>
    <t>ABOVE-THE-LINE DEDUCTIONS</t>
  </si>
  <si>
    <t>Traditional IRA Contributions</t>
  </si>
  <si>
    <t>Max $7,000 (2024)</t>
  </si>
  <si>
    <t>HSA Contributions</t>
  </si>
  <si>
    <t>Max $4,150 single / $8,300 family</t>
  </si>
  <si>
    <t>Student Loan Interest</t>
  </si>
  <si>
    <t>Max $2,500</t>
  </si>
  <si>
    <t>Self-Employment Deductions</t>
  </si>
  <si>
    <t>Home office, equipment, etc.</t>
  </si>
  <si>
    <t>BUSINESS DEDUCTIONS (if applicable)</t>
  </si>
  <si>
    <t>Home Office</t>
  </si>
  <si>
    <t>$5/sq ft or actual expenses</t>
  </si>
  <si>
    <t>Business Travel</t>
  </si>
  <si>
    <t>Keep receipts</t>
  </si>
  <si>
    <t>Professional Development</t>
  </si>
  <si>
    <t>Courses, books, conferences</t>
  </si>
  <si>
    <t>Equipment &amp; Software</t>
  </si>
  <si>
    <t>Computers, subscriptions</t>
  </si>
  <si>
    <t>Professional Services</t>
  </si>
  <si>
    <t>Accounting, legal fees</t>
  </si>
  <si>
    <t>TOTAL ITEMIZED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</si>
</sst>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C9A962"/>
      <sz val="20"/>
    </font>
    <font>
      <b/>
    </font>
    <font>
      <b/>
      <color rgb="FFFFFFFF"/>
      <sz val="12"/>
    </font>
    <font>
      <b/>
      <sz val="14"/>
    </font>
    <font>
      <b/>
      <color rgb="FFC9A962"/>
      <sz val="14"/>
    </font>
  </fonts>
  <fills count="5">
    <fill>
      <patternFill patternType="none"/>
    </fill>
    <fill>
      <patternFill patternType="gray125"/>
    </fill>
    <fill>
      <patternFill patternType="solid">
        <fgColor rgb="FF242B38"/>
      </patternFill>
    </fill>
    <fill>
      <patternFill patternType="solid">
        <fgColor rgb="FFFFF9E6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9A962"/>
      </left>
      <right style="thin">
        <color rgb="FFC9A962"/>
      </right>
      <top style="thin">
        <color rgb="FFC9A962"/>
      </top>
      <bottom style="thin">
        <color rgb="FFC9A962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3" borderId="1" xfId="0" applyNumberFormat="1" applyFill="1" applyBorder="1"/>
    <xf numFmtId="164" fontId="0" fillId="4" borderId="2" xfId="0" applyNumberFormat="1" applyFill="1" applyBorder="1"/>
    <xf numFmtId="0" fontId="0" fillId="3" borderId="1" xfId="0" applyFill="1" applyBorder="1"/>
    <xf numFmtId="164" fontId="0" fillId="0" borderId="0" xfId="0" applyNumberFormat="1"/>
    <xf numFmtId="165" fontId="0" fillId="3" borderId="1" xfId="0" applyNumberFormat="1" applyFill="1" applyBorder="1"/>
    <xf numFmtId="0" fontId="4" fillId="0" borderId="0" xfId="0" applyFont="1"/>
    <xf numFmtId="164" fontId="4" fillId="4" borderId="2" xfId="0" applyNumberFormat="1" applyFont="1" applyFill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30" customWidth="1"/>
    <col min="2" max="5" width="18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ht="25" customHeight="1" spans="1:2" s="3" customFormat="1" x14ac:dyDescent="0.25">
      <c r="A4" s="3" t="s">
        <v>3</v>
      </c>
      <c r="B4" s="3" t="s">
        <v>4</v>
      </c>
    </row>
    <row r="5" spans="1:2" x14ac:dyDescent="0.25">
      <c r="A5" t="s">
        <v>5</v>
      </c>
      <c r="B5" s="4">
        <v>0</v>
      </c>
    </row>
    <row r="6" spans="1:2" x14ac:dyDescent="0.25">
      <c r="A6" t="s">
        <v>6</v>
      </c>
      <c r="B6" s="4">
        <v>0</v>
      </c>
    </row>
    <row r="7" spans="1:2" x14ac:dyDescent="0.25">
      <c r="A7" t="s">
        <v>7</v>
      </c>
      <c r="B7" s="4">
        <v>0</v>
      </c>
    </row>
    <row r="8" spans="1:2" x14ac:dyDescent="0.25">
      <c r="A8" t="s">
        <v>8</v>
      </c>
      <c r="B8" s="4">
        <v>0</v>
      </c>
    </row>
    <row r="9" spans="1:2" x14ac:dyDescent="0.25">
      <c r="A9" t="s">
        <v>9</v>
      </c>
      <c r="B9" s="4">
        <v>0</v>
      </c>
    </row>
    <row r="10" spans="1:2" x14ac:dyDescent="0.25">
      <c r="A10" s="2" t="s">
        <v>10</v>
      </c>
      <c r="B10" s="5">
        <f>SUM(B5:B9)</f>
      </c>
    </row>
    <row r="12" spans="1:1" x14ac:dyDescent="0.25">
      <c r="A12" s="2" t="s">
        <v>11</v>
      </c>
    </row>
    <row r="13" spans="1:2" x14ac:dyDescent="0.25">
      <c r="A13" t="s">
        <v>12</v>
      </c>
      <c r="B13" s="6" t="s">
        <v>13</v>
      </c>
    </row>
    <row r="14" spans="1:2" x14ac:dyDescent="0.25">
      <c r="A14" t="s">
        <v>14</v>
      </c>
      <c r="B14" s="7">
        <v>14600</v>
      </c>
    </row>
    <row r="15" spans="1:2" x14ac:dyDescent="0.25">
      <c r="A15" t="s">
        <v>15</v>
      </c>
      <c r="B15" s="4">
        <v>0</v>
      </c>
    </row>
    <row r="16" spans="1:2" x14ac:dyDescent="0.25">
      <c r="A16" t="s">
        <v>16</v>
      </c>
      <c r="B16" s="5">
        <f>MAX(B14,B15)</f>
      </c>
    </row>
    <row r="18" spans="1:1" x14ac:dyDescent="0.25">
      <c r="A18" s="2" t="s">
        <v>17</v>
      </c>
    </row>
    <row r="19" spans="1:2" x14ac:dyDescent="0.25">
      <c r="A19" t="s">
        <v>18</v>
      </c>
      <c r="B19" s="5">
        <f>B10-B16</f>
      </c>
    </row>
    <row r="20" spans="1:2" x14ac:dyDescent="0.25">
      <c r="A20" t="s">
        <v>19</v>
      </c>
      <c r="B20" s="5">
        <f>B19*0.22</f>
      </c>
    </row>
    <row r="21" spans="1:2" x14ac:dyDescent="0.25">
      <c r="A21" t="s">
        <v>20</v>
      </c>
      <c r="B21" s="8">
        <v>0.05</v>
      </c>
    </row>
    <row r="22" spans="1:2" x14ac:dyDescent="0.25">
      <c r="A22" t="s">
        <v>21</v>
      </c>
      <c r="B22" s="5">
        <f>B19*B21</f>
      </c>
    </row>
    <row r="23" spans="1:2" x14ac:dyDescent="0.25">
      <c r="A23" t="s">
        <v>22</v>
      </c>
      <c r="B23" s="5">
        <f>B5*0.153</f>
      </c>
    </row>
    <row r="24" spans="1:2" x14ac:dyDescent="0.25">
      <c r="A24" s="9" t="s">
        <v>23</v>
      </c>
      <c r="B24" s="10">
        <f>B20+B22+B23</f>
      </c>
    </row>
    <row r="26" spans="1:1" x14ac:dyDescent="0.25">
      <c r="A26" s="11" t="s">
        <v>24</v>
      </c>
    </row>
    <row r="27" ht="25" customHeight="1" spans="1:3" s="3" customFormat="1" x14ac:dyDescent="0.25">
      <c r="A27" s="3" t="s">
        <v>25</v>
      </c>
      <c r="B27" s="3" t="s">
        <v>26</v>
      </c>
      <c r="C27" s="3" t="s">
        <v>27</v>
      </c>
    </row>
    <row r="28" spans="1:3" x14ac:dyDescent="0.25">
      <c r="A28" t="s">
        <v>28</v>
      </c>
      <c r="B28" t="s">
        <v>29</v>
      </c>
      <c r="C28" s="5">
        <f>B24*0.25</f>
      </c>
    </row>
    <row r="29" spans="1:3" x14ac:dyDescent="0.25">
      <c r="A29" t="s">
        <v>30</v>
      </c>
      <c r="B29" t="s">
        <v>31</v>
      </c>
      <c r="C29" s="5">
        <f>B24*0.25</f>
      </c>
    </row>
    <row r="30" spans="1:3" x14ac:dyDescent="0.25">
      <c r="A30" t="s">
        <v>32</v>
      </c>
      <c r="B30" t="s">
        <v>33</v>
      </c>
      <c r="C30" s="5">
        <f>B24*0.25</f>
      </c>
    </row>
    <row r="31" spans="1:3" x14ac:dyDescent="0.25">
      <c r="A31" t="s">
        <v>34</v>
      </c>
      <c r="B31" t="s">
        <v>35</v>
      </c>
      <c r="C31" s="5">
        <f>B24*0.25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35" customWidth="1"/>
    <col min="2" max="2" width="15" customWidth="1"/>
    <col min="3" max="3" width="40" customWidth="1"/>
  </cols>
  <sheetData>
    <row r="1" spans="1:3" x14ac:dyDescent="0.25">
      <c r="A1" s="12" t="s">
        <v>36</v>
      </c>
      <c r="B1" s="12"/>
      <c r="C1" s="12"/>
    </row>
    <row r="3" ht="25" customHeight="1" spans="1:3" s="3" customFormat="1" x14ac:dyDescent="0.25">
      <c r="A3" s="3" t="s">
        <v>37</v>
      </c>
      <c r="B3" s="3" t="s">
        <v>38</v>
      </c>
      <c r="C3" s="3" t="s">
        <v>39</v>
      </c>
    </row>
    <row r="4" spans="1:1" x14ac:dyDescent="0.25">
      <c r="A4" s="2" t="s">
        <v>40</v>
      </c>
    </row>
    <row r="5" spans="1:3" x14ac:dyDescent="0.25">
      <c r="A5" t="s">
        <v>41</v>
      </c>
      <c r="B5" s="4">
        <v>0</v>
      </c>
      <c r="C5" t="s">
        <v>42</v>
      </c>
    </row>
    <row r="6" spans="1:3" x14ac:dyDescent="0.25">
      <c r="A6" t="s">
        <v>43</v>
      </c>
      <c r="B6" s="4">
        <v>0</v>
      </c>
      <c r="C6" t="s">
        <v>44</v>
      </c>
    </row>
    <row r="7" spans="1:3" x14ac:dyDescent="0.25">
      <c r="A7" t="s">
        <v>45</v>
      </c>
      <c r="B7" s="4">
        <v>0</v>
      </c>
      <c r="C7" t="s">
        <v>46</v>
      </c>
    </row>
    <row r="8" spans="1:3" x14ac:dyDescent="0.25">
      <c r="A8" t="s">
        <v>47</v>
      </c>
      <c r="B8" s="4">
        <v>0</v>
      </c>
      <c r="C8" t="s">
        <v>48</v>
      </c>
    </row>
    <row r="10" spans="1:1" x14ac:dyDescent="0.25">
      <c r="A10" s="2" t="s">
        <v>49</v>
      </c>
    </row>
    <row r="11" spans="1:3" x14ac:dyDescent="0.25">
      <c r="A11" t="s">
        <v>50</v>
      </c>
      <c r="B11" s="4">
        <v>0</v>
      </c>
      <c r="C11" t="s">
        <v>51</v>
      </c>
    </row>
    <row r="12" spans="1:3" x14ac:dyDescent="0.25">
      <c r="A12" t="s">
        <v>52</v>
      </c>
      <c r="B12" s="4">
        <v>0</v>
      </c>
      <c r="C12" t="s">
        <v>53</v>
      </c>
    </row>
    <row r="13" spans="1:3" x14ac:dyDescent="0.25">
      <c r="A13" t="s">
        <v>54</v>
      </c>
      <c r="B13" s="4">
        <v>0</v>
      </c>
      <c r="C13" t="s">
        <v>55</v>
      </c>
    </row>
    <row r="14" spans="1:3" x14ac:dyDescent="0.25">
      <c r="A14" t="s">
        <v>56</v>
      </c>
      <c r="B14" s="4">
        <v>0</v>
      </c>
      <c r="C14" t="s">
        <v>57</v>
      </c>
    </row>
    <row r="16" spans="1:1" x14ac:dyDescent="0.25">
      <c r="A16" s="2" t="s">
        <v>58</v>
      </c>
    </row>
    <row r="17" spans="1:3" x14ac:dyDescent="0.25">
      <c r="A17" t="s">
        <v>59</v>
      </c>
      <c r="B17" s="4">
        <v>0</v>
      </c>
      <c r="C17" t="s">
        <v>60</v>
      </c>
    </row>
    <row r="18" spans="1:3" x14ac:dyDescent="0.25">
      <c r="A18" t="s">
        <v>61</v>
      </c>
      <c r="B18" s="4">
        <v>0</v>
      </c>
      <c r="C18" t="s">
        <v>62</v>
      </c>
    </row>
    <row r="19" spans="1:3" x14ac:dyDescent="0.25">
      <c r="A19" t="s">
        <v>63</v>
      </c>
      <c r="B19" s="4">
        <v>0</v>
      </c>
      <c r="C19" t="s">
        <v>64</v>
      </c>
    </row>
    <row r="20" spans="1:3" x14ac:dyDescent="0.25">
      <c r="A20" t="s">
        <v>65</v>
      </c>
      <c r="B20" s="4">
        <v>0</v>
      </c>
      <c r="C20" t="s">
        <v>66</v>
      </c>
    </row>
    <row r="21" spans="1:3" x14ac:dyDescent="0.25">
      <c r="A21" t="s">
        <v>67</v>
      </c>
      <c r="B21" s="4">
        <v>0</v>
      </c>
      <c r="C21" t="s">
        <v>68</v>
      </c>
    </row>
    <row r="23" spans="1:2" x14ac:dyDescent="0.25">
      <c r="A23" s="2" t="s">
        <v>69</v>
      </c>
      <c r="B23" s="5">
        <f>SUM(B5:B21)</f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 Taxes</vt:lpstr>
      <vt:lpstr>Deduction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Charge Wealth</dc:creator>
  <dc:title/>
  <dc:subject/>
  <dc:description/>
  <cp:keywords/>
  <cp:category/>
  <cp:lastModifiedBy>Unknown</cp:lastModifiedBy>
  <dcterms:created xsi:type="dcterms:W3CDTF">2026-01-30T13:01:13Z</dcterms:created>
  <dcterms:modified xsi:type="dcterms:W3CDTF">2026-01-30T13:01:13Z</dcterms:modified>
</cp:coreProperties>
</file>