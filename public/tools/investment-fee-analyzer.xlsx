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 Analyzer" state="visible" r:id="rId4"/>
    <sheet sheetId="2" name="Chart Data" state="visible" r:id="rId5"/>
  </sheets>
  <calcPr calcId="171027"/>
</workbook>
</file>

<file path=xl/sharedStrings.xml><?xml version="1.0" encoding="utf-8"?>
<sst xmlns="http://schemas.openxmlformats.org/spreadsheetml/2006/main" count="30" uniqueCount="30">
  <si>
    <t>Investment Fee Analyzer - The Hidden Cost of 1%</t>
  </si>
  <si>
    <t>YOUR INPUTS</t>
  </si>
  <si>
    <t>Starting Investment:</t>
  </si>
  <si>
    <t>Monthly Contribution:</t>
  </si>
  <si>
    <t>Expected Annual Return:</t>
  </si>
  <si>
    <t>FEE SCENARIOS</t>
  </si>
  <si>
    <t>Scenario</t>
  </si>
  <si>
    <t>Annual Fee</t>
  </si>
  <si>
    <t>10 Years</t>
  </si>
  <si>
    <t>20 Years</t>
  </si>
  <si>
    <t>30 Years</t>
  </si>
  <si>
    <t>Fees Paid (30yr)</t>
  </si>
  <si>
    <t>% Lost to Fees</t>
  </si>
  <si>
    <t>DIY Index Funds</t>
  </si>
  <si>
    <t>Robo-Advisor</t>
  </si>
  <si>
    <t>Financial Advisor (1%)</t>
  </si>
  <si>
    <t>Financial Advisor (1.5%)</t>
  </si>
  <si>
    <t>High-Cost Mutual Funds</t>
  </si>
  <si>
    <t>THE HIDDEN COST OF HIGH FEES</t>
  </si>
  <si>
    <t>Cost of 1% fee over 30 years:</t>
  </si>
  <si>
    <t>KEY INSIGHTS:</t>
  </si>
  <si>
    <t>• A 1% fee might sound small, but it compounds against you every year</t>
  </si>
  <si>
    <t>• Over 30 years, high fees can cost you hundreds of thousands of dollars</t>
  </si>
  <si>
    <t>• Low-cost index funds often outperform high-fee actively managed funds</t>
  </si>
  <si>
    <t>• Always ask: "What am I getting for this fee that I can't get cheaper?"</t>
  </si>
  <si>
    <t>Yearly Growth Comparison (for charting)</t>
  </si>
  <si>
    <t>Year</t>
  </si>
  <si>
    <t>No Fee (0.03%)</t>
  </si>
  <si>
    <t>1% Fee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</si>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</sst>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C9A962"/>
      <sz val="20"/>
    </font>
    <font>
      <b/>
      <sz val="12"/>
    </font>
    <font>
      <b/>
      <color rgb="FFFFFFFF"/>
      <sz val="12"/>
    </font>
    <font>
      <b/>
      <color rgb="FFC9A962"/>
      <sz val="14"/>
    </font>
    <font>
      <b/>
    </font>
    <font>
      <b/>
      <color rgb="FFF44336"/>
      <sz val="16"/>
    </font>
    <font>
      <b/>
      <sz val="14"/>
    </font>
  </fonts>
  <fills count="5">
    <fill>
      <patternFill patternType="none"/>
    </fill>
    <fill>
      <patternFill patternType="gray125"/>
    </fill>
    <fill>
      <patternFill patternType="solid">
        <fgColor rgb="FFFFF9E6"/>
      </patternFill>
    </fill>
    <fill>
      <patternFill patternType="solid">
        <fgColor rgb="FF242B38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9A962"/>
      </left>
      <right style="thin">
        <color rgb="FFC9A962"/>
      </right>
      <top style="thin">
        <color rgb="FFC9A962"/>
      </top>
      <bottom style="thin">
        <color rgb="FFC9A962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0" fillId="2" borderId="1" xfId="0" applyNumberFormat="1" applyFill="1" applyBorder="1"/>
    <xf numFmtId="165" fontId="0" fillId="2" borderId="1" xfId="0" applyNumberFormat="1" applyFill="1" applyBorder="1"/>
    <xf numFmtId="0" fontId="3" fillId="3" borderId="0" xfId="0" applyFont="1" applyFill="1" applyAlignment="1">
      <alignment horizontal="center" vertical="center"/>
    </xf>
    <xf numFmtId="10" fontId="0" fillId="0" borderId="0" xfId="0" applyNumberFormat="1"/>
    <xf numFmtId="164" fontId="0" fillId="4" borderId="2" xfId="0" applyNumberFormat="1" applyFill="1" applyBorder="1"/>
    <xf numFmtId="165" fontId="0" fillId="4" borderId="2" xfId="0" applyNumberFormat="1" applyFill="1" applyBorder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25" customWidth="1"/>
    <col min="2" max="7" width="18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1" x14ac:dyDescent="0.25">
      <c r="A3" s="2" t="s">
        <v>1</v>
      </c>
    </row>
    <row r="4" spans="1:2" x14ac:dyDescent="0.25">
      <c r="A4" t="s">
        <v>2</v>
      </c>
      <c r="B4" s="3">
        <v>100000</v>
      </c>
    </row>
    <row r="5" spans="1:2" x14ac:dyDescent="0.25">
      <c r="A5" t="s">
        <v>3</v>
      </c>
      <c r="B5" s="3">
        <v>1000</v>
      </c>
    </row>
    <row r="6" spans="1:2" x14ac:dyDescent="0.25">
      <c r="A6" t="s">
        <v>4</v>
      </c>
      <c r="B6" s="4">
        <v>0.08</v>
      </c>
    </row>
    <row r="8" spans="1:1" x14ac:dyDescent="0.25">
      <c r="A8" s="2" t="s">
        <v>5</v>
      </c>
    </row>
    <row r="9" ht="25" customHeight="1" spans="1:7" s="5" customFormat="1" x14ac:dyDescent="0.25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</row>
    <row r="10" spans="1:7" x14ac:dyDescent="0.25">
      <c r="A10" t="s">
        <v>13</v>
      </c>
      <c r="B10" s="6">
        <v>0.0003</v>
      </c>
      <c r="C10" s="7">
        <f>FV((B$6-B10)/12,120,-B$5,-B$4)</f>
      </c>
      <c r="D10" s="7">
        <f>FV((B$6-B10)/12,240,-B$5,-B$4)</f>
      </c>
      <c r="E10" s="7">
        <f>FV((B$6-B10)/12,360,-B$5,-B$4)</f>
      </c>
      <c r="F10" s="7">
        <v>0</v>
      </c>
      <c r="G10" s="8">
        <v>0</v>
      </c>
    </row>
    <row r="11" spans="1:7" x14ac:dyDescent="0.25">
      <c r="A11" t="s">
        <v>14</v>
      </c>
      <c r="B11" s="6">
        <v>0.0025</v>
      </c>
      <c r="C11" s="7">
        <f>FV((B$6-B11)/12,120,-B$5,-B$4)</f>
      </c>
      <c r="D11" s="7">
        <f>FV((B$6-B11)/12,240,-B$5,-B$4)</f>
      </c>
      <c r="E11" s="7">
        <f>FV((B$6-B11)/12,360,-B$5,-B$4)</f>
      </c>
      <c r="F11" s="7">
        <f>E$10-E11</f>
      </c>
      <c r="G11" s="8">
        <f>F11/E$10</f>
      </c>
    </row>
    <row r="12" spans="1:7" x14ac:dyDescent="0.25">
      <c r="A12" t="s">
        <v>15</v>
      </c>
      <c r="B12" s="6">
        <v>0.01</v>
      </c>
      <c r="C12" s="7">
        <f>FV((B$6-B12)/12,120,-B$5,-B$4)</f>
      </c>
      <c r="D12" s="7">
        <f>FV((B$6-B12)/12,240,-B$5,-B$4)</f>
      </c>
      <c r="E12" s="7">
        <f>FV((B$6-B12)/12,360,-B$5,-B$4)</f>
      </c>
      <c r="F12" s="7">
        <f>E$10-E12</f>
      </c>
      <c r="G12" s="8">
        <f>F12/E$10</f>
      </c>
    </row>
    <row r="13" spans="1:7" x14ac:dyDescent="0.25">
      <c r="A13" t="s">
        <v>16</v>
      </c>
      <c r="B13" s="6">
        <v>0.015</v>
      </c>
      <c r="C13" s="7">
        <f>FV((B$6-B13)/12,120,-B$5,-B$4)</f>
      </c>
      <c r="D13" s="7">
        <f>FV((B$6-B13)/12,240,-B$5,-B$4)</f>
      </c>
      <c r="E13" s="7">
        <f>FV((B$6-B13)/12,360,-B$5,-B$4)</f>
      </c>
      <c r="F13" s="7">
        <f>E$10-E13</f>
      </c>
      <c r="G13" s="8">
        <f>F13/E$10</f>
      </c>
    </row>
    <row r="14" spans="1:7" x14ac:dyDescent="0.25">
      <c r="A14" t="s">
        <v>17</v>
      </c>
      <c r="B14" s="6">
        <v>0.012</v>
      </c>
      <c r="C14" s="7">
        <f>FV((B$6-B14)/12,120,-B$5,-B$4)</f>
      </c>
      <c r="D14" s="7">
        <f>FV((B$6-B14)/12,240,-B$5,-B$4)</f>
      </c>
      <c r="E14" s="7">
        <f>FV((B$6-B14)/12,360,-B$5,-B$4)</f>
      </c>
      <c r="F14" s="7">
        <f>E$10-E14</f>
      </c>
      <c r="G14" s="8">
        <f>F14/E$10</f>
      </c>
    </row>
    <row r="17" spans="1:7" x14ac:dyDescent="0.25">
      <c r="A17" s="9" t="s">
        <v>18</v>
      </c>
      <c r="B17" s="9"/>
      <c r="C17" s="9"/>
      <c r="D17" s="9"/>
      <c r="E17" s="9"/>
      <c r="F17" s="9"/>
      <c r="G17" s="9"/>
    </row>
    <row r="19" spans="1:2" x14ac:dyDescent="0.25">
      <c r="A19" s="10" t="s">
        <v>19</v>
      </c>
      <c r="B19" s="11">
        <f>E10-E12</f>
      </c>
    </row>
    <row r="21" spans="1:1" x14ac:dyDescent="0.25">
      <c r="A21" s="10" t="s">
        <v>20</v>
      </c>
    </row>
    <row r="22" spans="1:7" x14ac:dyDescent="0.25">
      <c r="A22" t="s">
        <v>21</v>
      </c>
      <c r="B22"/>
      <c r="C22"/>
      <c r="D22"/>
      <c r="E22"/>
      <c r="F22"/>
      <c r="G22"/>
    </row>
    <row r="23" spans="1:7" x14ac:dyDescent="0.25">
      <c r="A23" t="s">
        <v>22</v>
      </c>
      <c r="B23"/>
      <c r="C23"/>
      <c r="D23"/>
      <c r="E23"/>
      <c r="F23"/>
      <c r="G23"/>
    </row>
    <row r="24" spans="1:7" x14ac:dyDescent="0.25">
      <c r="A24" t="s">
        <v>23</v>
      </c>
      <c r="B24"/>
      <c r="C24"/>
      <c r="D24"/>
      <c r="E24"/>
      <c r="F24"/>
      <c r="G24"/>
    </row>
    <row r="25" spans="1:7" x14ac:dyDescent="0.25">
      <c r="A25" t="s">
        <v>24</v>
      </c>
      <c r="B25"/>
      <c r="C25"/>
      <c r="D25"/>
      <c r="E25"/>
      <c r="F25"/>
      <c r="G25"/>
    </row>
  </sheetData>
  <mergeCells count="6">
    <mergeCell ref="A1:G1"/>
    <mergeCell ref="A17:G17"/>
    <mergeCell ref="A22:G22"/>
    <mergeCell ref="A23:G23"/>
    <mergeCell ref="A24:G24"/>
    <mergeCell ref="A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10" customWidth="1"/>
    <col min="2" max="4" width="15" customWidth="1"/>
  </cols>
  <sheetData>
    <row r="1" spans="1:1" x14ac:dyDescent="0.25">
      <c r="A1" s="12" t="s">
        <v>25</v>
      </c>
    </row>
    <row r="3" ht="25" customHeight="1" spans="1:4" s="5" customFormat="1" x14ac:dyDescent="0.25">
      <c r="A3" s="5" t="s">
        <v>26</v>
      </c>
      <c r="B3" s="5" t="s">
        <v>27</v>
      </c>
      <c r="C3" s="5" t="s">
        <v>28</v>
      </c>
      <c r="D3" s="5" t="s">
        <v>29</v>
      </c>
    </row>
    <row r="4" spans="1:4" x14ac:dyDescent="0.25">
      <c r="A4">
        <v>1</v>
      </c>
      <c r="B4" s="13">
        <v>119970</v>
      </c>
      <c r="C4" s="13">
        <v>119000</v>
      </c>
      <c r="D4" s="13">
        <v>970</v>
      </c>
    </row>
    <row r="5" spans="1:4" x14ac:dyDescent="0.25">
      <c r="A5">
        <v>2</v>
      </c>
      <c r="B5" s="13">
        <v>141532</v>
      </c>
      <c r="C5" s="13">
        <v>139330</v>
      </c>
      <c r="D5" s="13">
        <v>2202</v>
      </c>
    </row>
    <row r="6" spans="1:4" x14ac:dyDescent="0.25">
      <c r="A6">
        <v>3</v>
      </c>
      <c r="B6" s="13">
        <v>164812</v>
      </c>
      <c r="C6" s="13">
        <v>161083</v>
      </c>
      <c r="D6" s="13">
        <v>3729</v>
      </c>
    </row>
    <row r="7" spans="1:4" x14ac:dyDescent="0.25">
      <c r="A7">
        <v>4</v>
      </c>
      <c r="B7" s="13">
        <v>189947</v>
      </c>
      <c r="C7" s="13">
        <v>184359</v>
      </c>
      <c r="D7" s="13">
        <v>5588</v>
      </c>
    </row>
    <row r="8" spans="1:4" x14ac:dyDescent="0.25">
      <c r="A8">
        <v>5</v>
      </c>
      <c r="B8" s="13">
        <v>217086</v>
      </c>
      <c r="C8" s="13">
        <v>209264</v>
      </c>
      <c r="D8" s="13">
        <v>7822</v>
      </c>
    </row>
    <row r="9" spans="1:4" x14ac:dyDescent="0.25">
      <c r="A9">
        <v>6</v>
      </c>
      <c r="B9" s="13">
        <v>246388</v>
      </c>
      <c r="C9" s="13">
        <v>235913</v>
      </c>
      <c r="D9" s="13">
        <v>10475</v>
      </c>
    </row>
    <row r="10" spans="1:4" x14ac:dyDescent="0.25">
      <c r="A10">
        <v>7</v>
      </c>
      <c r="B10" s="13">
        <v>278025</v>
      </c>
      <c r="C10" s="13">
        <v>264426</v>
      </c>
      <c r="D10" s="13">
        <v>13598</v>
      </c>
    </row>
    <row r="11" spans="1:4" x14ac:dyDescent="0.25">
      <c r="A11">
        <v>8</v>
      </c>
      <c r="B11" s="13">
        <v>312183</v>
      </c>
      <c r="C11" s="13">
        <v>294936</v>
      </c>
      <c r="D11" s="13">
        <v>17247</v>
      </c>
    </row>
    <row r="12" spans="1:4" x14ac:dyDescent="0.25">
      <c r="A12">
        <v>9</v>
      </c>
      <c r="B12" s="13">
        <v>349064</v>
      </c>
      <c r="C12" s="13">
        <v>327582</v>
      </c>
      <c r="D12" s="13">
        <v>21483</v>
      </c>
    </row>
    <row r="13" spans="1:4" x14ac:dyDescent="0.25">
      <c r="A13">
        <v>10</v>
      </c>
      <c r="B13" s="13">
        <v>388885</v>
      </c>
      <c r="C13" s="13">
        <v>362513</v>
      </c>
      <c r="D13" s="13">
        <v>26372</v>
      </c>
    </row>
    <row r="14" spans="1:4" x14ac:dyDescent="0.25">
      <c r="A14">
        <v>11</v>
      </c>
      <c r="B14" s="13">
        <v>431879</v>
      </c>
      <c r="C14" s="13">
        <v>399888</v>
      </c>
      <c r="D14" s="13">
        <v>31991</v>
      </c>
    </row>
    <row r="15" spans="1:4" x14ac:dyDescent="0.25">
      <c r="A15">
        <v>12</v>
      </c>
      <c r="B15" s="13">
        <v>478300</v>
      </c>
      <c r="C15" s="13">
        <v>439881</v>
      </c>
      <c r="D15" s="13">
        <v>38419</v>
      </c>
    </row>
    <row r="16" spans="1:4" x14ac:dyDescent="0.25">
      <c r="A16">
        <v>13</v>
      </c>
      <c r="B16" s="13">
        <v>528420</v>
      </c>
      <c r="C16" s="13">
        <v>482672</v>
      </c>
      <c r="D16" s="13">
        <v>45748</v>
      </c>
    </row>
    <row r="17" spans="1:4" x14ac:dyDescent="0.25">
      <c r="A17">
        <v>14</v>
      </c>
      <c r="B17" s="13">
        <v>582535</v>
      </c>
      <c r="C17" s="13">
        <v>528459</v>
      </c>
      <c r="D17" s="13">
        <v>54076</v>
      </c>
    </row>
    <row r="18" spans="1:4" x14ac:dyDescent="0.25">
      <c r="A18">
        <v>15</v>
      </c>
      <c r="B18" s="13">
        <v>640963</v>
      </c>
      <c r="C18" s="13">
        <v>577451</v>
      </c>
      <c r="D18" s="13">
        <v>63512</v>
      </c>
    </row>
    <row r="19" spans="1:4" x14ac:dyDescent="0.25">
      <c r="A19">
        <v>16</v>
      </c>
      <c r="B19" s="13">
        <v>704048</v>
      </c>
      <c r="C19" s="13">
        <v>629873</v>
      </c>
      <c r="D19" s="13">
        <v>74175</v>
      </c>
    </row>
    <row r="20" spans="1:4" x14ac:dyDescent="0.25">
      <c r="A20">
        <v>17</v>
      </c>
      <c r="B20" s="13">
        <v>772161</v>
      </c>
      <c r="C20" s="13">
        <v>685964</v>
      </c>
      <c r="D20" s="13">
        <v>86197</v>
      </c>
    </row>
    <row r="21" spans="1:4" x14ac:dyDescent="0.25">
      <c r="A21">
        <v>18</v>
      </c>
      <c r="B21" s="13">
        <v>845702</v>
      </c>
      <c r="C21" s="13">
        <v>745982</v>
      </c>
      <c r="D21" s="13">
        <v>99720</v>
      </c>
    </row>
    <row r="22" spans="1:4" x14ac:dyDescent="0.25">
      <c r="A22">
        <v>19</v>
      </c>
      <c r="B22" s="13">
        <v>925104</v>
      </c>
      <c r="C22" s="13">
        <v>810200</v>
      </c>
      <c r="D22" s="13">
        <v>114904</v>
      </c>
    </row>
    <row r="23" spans="1:4" x14ac:dyDescent="0.25">
      <c r="A23">
        <v>20</v>
      </c>
      <c r="B23" s="13">
        <v>1010835</v>
      </c>
      <c r="C23" s="13">
        <v>878914</v>
      </c>
      <c r="D23" s="13">
        <v>131921</v>
      </c>
    </row>
    <row r="24" spans="1:4" x14ac:dyDescent="0.25">
      <c r="A24">
        <v>21</v>
      </c>
      <c r="B24" s="13">
        <v>1103399</v>
      </c>
      <c r="C24" s="13">
        <v>952438</v>
      </c>
      <c r="D24" s="13">
        <v>150960</v>
      </c>
    </row>
    <row r="25" spans="1:4" x14ac:dyDescent="0.25">
      <c r="A25">
        <v>22</v>
      </c>
      <c r="B25" s="13">
        <v>1203340</v>
      </c>
      <c r="C25" s="13">
        <v>1031109</v>
      </c>
      <c r="D25" s="13">
        <v>172231</v>
      </c>
    </row>
    <row r="26" spans="1:4" x14ac:dyDescent="0.25">
      <c r="A26">
        <v>23</v>
      </c>
      <c r="B26" s="13">
        <v>1311246</v>
      </c>
      <c r="C26" s="13">
        <v>1115287</v>
      </c>
      <c r="D26" s="13">
        <v>195959</v>
      </c>
    </row>
    <row r="27" spans="1:4" x14ac:dyDescent="0.25">
      <c r="A27">
        <v>24</v>
      </c>
      <c r="B27" s="13">
        <v>1427752</v>
      </c>
      <c r="C27" s="13">
        <v>1205357</v>
      </c>
      <c r="D27" s="13">
        <v>222395</v>
      </c>
    </row>
    <row r="28" spans="1:4" x14ac:dyDescent="0.25">
      <c r="A28">
        <v>25</v>
      </c>
      <c r="B28" s="13">
        <v>1553544</v>
      </c>
      <c r="C28" s="13">
        <v>1301732</v>
      </c>
      <c r="D28" s="13">
        <v>251812</v>
      </c>
    </row>
    <row r="29" spans="1:4" x14ac:dyDescent="0.25">
      <c r="A29">
        <v>26</v>
      </c>
      <c r="B29" s="13">
        <v>1689361</v>
      </c>
      <c r="C29" s="13">
        <v>1404853</v>
      </c>
      <c r="D29" s="13">
        <v>284509</v>
      </c>
    </row>
    <row r="30" spans="1:4" x14ac:dyDescent="0.25">
      <c r="A30">
        <v>27</v>
      </c>
      <c r="B30" s="13">
        <v>1836004</v>
      </c>
      <c r="C30" s="13">
        <v>1515193</v>
      </c>
      <c r="D30" s="13">
        <v>320811</v>
      </c>
    </row>
    <row r="31" spans="1:4" x14ac:dyDescent="0.25">
      <c r="A31">
        <v>28</v>
      </c>
      <c r="B31" s="13">
        <v>1994333</v>
      </c>
      <c r="C31" s="13">
        <v>1633256</v>
      </c>
      <c r="D31" s="13">
        <v>361077</v>
      </c>
    </row>
    <row r="32" spans="1:4" x14ac:dyDescent="0.25">
      <c r="A32">
        <v>29</v>
      </c>
      <c r="B32" s="13">
        <v>2165281</v>
      </c>
      <c r="C32" s="13">
        <v>1759584</v>
      </c>
      <c r="D32" s="13">
        <v>405697</v>
      </c>
    </row>
    <row r="33" spans="1:4" x14ac:dyDescent="0.25">
      <c r="A33">
        <v>30</v>
      </c>
      <c r="B33" s="13">
        <v>2349854</v>
      </c>
      <c r="C33" s="13">
        <v>1894755</v>
      </c>
      <c r="D33" s="13">
        <v>455099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Analyzer</vt:lpstr>
      <vt:lpstr>Chart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Charge Wealth</dc:creator>
  <dc:title/>
  <dc:subject/>
  <dc:description/>
  <cp:keywords/>
  <cp:category/>
  <cp:lastModifiedBy>Unknown</cp:lastModifiedBy>
  <dcterms:created xsi:type="dcterms:W3CDTF">2026-01-30T13:01:14Z</dcterms:created>
  <dcterms:modified xsi:type="dcterms:W3CDTF">2026-01-30T13:01:14Z</dcterms:modified>
</cp:coreProperties>
</file>